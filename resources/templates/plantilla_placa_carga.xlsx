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codeName="ThisWorkbook"/>
  <mc:AlternateContent xmlns:mc="http://schemas.openxmlformats.org/markup-compatibility/2006">
    <mc:Choice Requires="x15">
      <x15ac:absPath xmlns:x15ac="http://schemas.microsoft.com/office/spreadsheetml/2010/11/ac" url="/Users/usuario/Desktop/cye-electron/resources/templates/"/>
    </mc:Choice>
  </mc:AlternateContent>
  <xr:revisionPtr revIDLastSave="0" documentId="8_{DD0E79B2-0B1B-C04A-9DCA-7088D4DFC5FC}" xr6:coauthVersionLast="47" xr6:coauthVersionMax="47" xr10:uidLastSave="{00000000-0000-0000-0000-000000000000}"/>
  <bookViews>
    <workbookView xWindow="240" yWindow="500" windowWidth="22260" windowHeight="13820" activeTab="1" xr2:uid="{C0F42B34-5C36-0B42-8DBD-61BE3A3BFC83}"/>
  </bookViews>
  <sheets>
    <sheet name="DATINF" sheetId="2" r:id="rId1"/>
    <sheet name="INF" sheetId="1" r:id="rId2"/>
  </sheets>
  <definedNames>
    <definedName name="_xlnm.Print_Area" localSheetId="1">INF!$A$1:$G$64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4" i="1" l="1"/>
  <c r="A29" i="1"/>
  <c r="B29" i="1"/>
  <c r="C29" i="1"/>
  <c r="D29" i="1"/>
  <c r="A20" i="1"/>
  <c r="B20" i="1"/>
  <c r="C20" i="1"/>
  <c r="D20" i="1"/>
  <c r="E47" i="2"/>
  <c r="E29" i="1"/>
  <c r="E38" i="2"/>
  <c r="E20" i="1"/>
  <c r="E32" i="2"/>
  <c r="E14" i="1"/>
  <c r="E33" i="2"/>
  <c r="E15" i="1"/>
  <c r="E34" i="2"/>
  <c r="E16" i="1"/>
  <c r="E35" i="2"/>
  <c r="E17" i="1"/>
  <c r="E36" i="2"/>
  <c r="E18" i="1"/>
  <c r="E37" i="2"/>
  <c r="E19" i="1"/>
  <c r="E39" i="2"/>
  <c r="E21" i="1"/>
  <c r="A40" i="2"/>
  <c r="E41" i="2"/>
  <c r="E23" i="1"/>
  <c r="E42" i="2"/>
  <c r="E24" i="1"/>
  <c r="E43" i="2"/>
  <c r="E44" i="2"/>
  <c r="A44" i="2"/>
  <c r="E45" i="2"/>
  <c r="E46" i="2"/>
  <c r="E48" i="2"/>
  <c r="E30" i="1"/>
  <c r="E49" i="2"/>
  <c r="E50" i="2"/>
  <c r="E32" i="1"/>
  <c r="E59" i="1"/>
  <c r="A7" i="1"/>
  <c r="A5" i="1"/>
  <c r="A34" i="1"/>
  <c r="A9" i="1"/>
  <c r="C7" i="1"/>
  <c r="F7" i="1"/>
  <c r="F9" i="1"/>
  <c r="D9" i="1"/>
  <c r="F8" i="1"/>
  <c r="A8" i="1"/>
  <c r="F6" i="1"/>
  <c r="F5" i="1"/>
  <c r="A3" i="1"/>
  <c r="D8" i="2"/>
  <c r="F15" i="1"/>
  <c r="G15" i="1"/>
  <c r="F16" i="1"/>
  <c r="G16" i="1"/>
  <c r="F17" i="1"/>
  <c r="G17" i="1"/>
  <c r="F18" i="1"/>
  <c r="F19" i="1"/>
  <c r="G19" i="1"/>
  <c r="F21" i="1"/>
  <c r="G21" i="1"/>
  <c r="F22" i="1"/>
  <c r="G22" i="1"/>
  <c r="F23" i="1"/>
  <c r="G23" i="1"/>
  <c r="F24" i="1"/>
  <c r="G24" i="1"/>
  <c r="F25" i="1"/>
  <c r="G25" i="1"/>
  <c r="F26" i="1"/>
  <c r="G26" i="1"/>
  <c r="F27" i="1"/>
  <c r="G27" i="1"/>
  <c r="F28" i="1"/>
  <c r="G28" i="1"/>
  <c r="F30" i="1"/>
  <c r="G30" i="1"/>
  <c r="F31" i="1"/>
  <c r="F32" i="1"/>
  <c r="G14" i="1"/>
  <c r="F14" i="1"/>
  <c r="A6" i="1"/>
  <c r="A28" i="1"/>
  <c r="B28" i="1"/>
  <c r="C28" i="1"/>
  <c r="D28" i="1"/>
  <c r="A30" i="1"/>
  <c r="B30" i="1"/>
  <c r="C30" i="1"/>
  <c r="D30" i="1"/>
  <c r="A31" i="1"/>
  <c r="B31" i="1"/>
  <c r="C31" i="1"/>
  <c r="D31" i="1"/>
  <c r="E31" i="1"/>
  <c r="A32" i="1"/>
  <c r="B32" i="1"/>
  <c r="C32" i="1"/>
  <c r="D32" i="1"/>
  <c r="B27" i="1"/>
  <c r="C27" i="1"/>
  <c r="D27" i="1"/>
  <c r="E27" i="1"/>
  <c r="A27" i="1"/>
  <c r="A24" i="1"/>
  <c r="B24" i="1"/>
  <c r="C24" i="1"/>
  <c r="D24" i="1"/>
  <c r="A25" i="1"/>
  <c r="A26" i="1"/>
  <c r="B25" i="1"/>
  <c r="C25" i="1"/>
  <c r="D25" i="1"/>
  <c r="B23" i="1"/>
  <c r="C23" i="1"/>
  <c r="D23" i="1"/>
  <c r="A23" i="1"/>
  <c r="A15" i="1"/>
  <c r="B15" i="1"/>
  <c r="C15" i="1"/>
  <c r="D15" i="1"/>
  <c r="A16" i="1"/>
  <c r="B16" i="1"/>
  <c r="C16" i="1"/>
  <c r="D16" i="1"/>
  <c r="A17" i="1"/>
  <c r="B17" i="1"/>
  <c r="C17" i="1"/>
  <c r="D17" i="1"/>
  <c r="A18" i="1"/>
  <c r="B18" i="1"/>
  <c r="C18" i="1"/>
  <c r="D18" i="1"/>
  <c r="A19" i="1"/>
  <c r="B19" i="1"/>
  <c r="C19" i="1"/>
  <c r="D19" i="1"/>
  <c r="A21" i="1"/>
  <c r="A22" i="1"/>
  <c r="B21" i="1"/>
  <c r="C21" i="1"/>
  <c r="D21" i="1"/>
  <c r="B14" i="1"/>
  <c r="C14" i="1"/>
  <c r="D14" i="1"/>
  <c r="A14" i="1"/>
  <c r="A11" i="1"/>
  <c r="G49" i="2"/>
  <c r="G31" i="1"/>
  <c r="E28" i="1"/>
  <c r="E40" i="2"/>
  <c r="E25" i="1"/>
  <c r="G36" i="2"/>
  <c r="G18" i="1"/>
  <c r="G50" i="2"/>
  <c r="G32" i="1"/>
</calcChain>
</file>

<file path=xl/sharedStrings.xml><?xml version="1.0" encoding="utf-8"?>
<sst xmlns="http://schemas.openxmlformats.org/spreadsheetml/2006/main" count="64" uniqueCount="54">
  <si>
    <t>Lectura de flexímetros</t>
  </si>
  <si>
    <t>específica MPa</t>
  </si>
  <si>
    <t>Primer ciclo de carga</t>
  </si>
  <si>
    <t>Descarga</t>
  </si>
  <si>
    <t>Segundo ciclo de carga</t>
  </si>
  <si>
    <t>VºBº EL DIRECTOR DEL LABORATORIO</t>
  </si>
  <si>
    <t xml:space="preserve">            Fdo.: Gonzalo J. Guzmán</t>
  </si>
  <si>
    <t>Página -1/1-</t>
  </si>
  <si>
    <t>INFORME DE ENSAYO DE CARGA CON PLACA NLT-357/98</t>
  </si>
  <si>
    <t>Fecha entrada (ensayo)</t>
  </si>
  <si>
    <t>Fecha informe (firma)</t>
  </si>
  <si>
    <t>Obra</t>
  </si>
  <si>
    <t>Ref Obra</t>
  </si>
  <si>
    <t>Orden trabajo</t>
  </si>
  <si>
    <t>Localización</t>
  </si>
  <si>
    <t>Destinatario1</t>
  </si>
  <si>
    <t>Destinatario2</t>
  </si>
  <si>
    <t>Destinatario3</t>
  </si>
  <si>
    <t>Destinatario4</t>
  </si>
  <si>
    <t>Destinatario5</t>
  </si>
  <si>
    <t>Observaciones</t>
  </si>
  <si>
    <t>Asiento medio mm</t>
  </si>
  <si>
    <t>Carga específica Mpa</t>
  </si>
  <si>
    <t>Climatología</t>
  </si>
  <si>
    <t>P.K.</t>
  </si>
  <si>
    <t>Capa</t>
  </si>
  <si>
    <t>Humedad del suelo</t>
  </si>
  <si>
    <r>
      <t>F</t>
    </r>
    <r>
      <rPr>
        <b/>
        <vertAlign val="subscript"/>
        <sz val="10"/>
        <rFont val="Arial"/>
        <family val="2"/>
      </rPr>
      <t>placa</t>
    </r>
    <r>
      <rPr>
        <b/>
        <sz val="10"/>
        <rFont val="Arial"/>
        <family val="2"/>
      </rPr>
      <t xml:space="preserve"> cm</t>
    </r>
  </si>
  <si>
    <t>Temperatura ºC</t>
  </si>
  <si>
    <t>Procedencia</t>
  </si>
  <si>
    <t>F</t>
  </si>
  <si>
    <t>Cliente</t>
  </si>
  <si>
    <t>Tiempo total invertido (min)</t>
  </si>
  <si>
    <t>Material</t>
  </si>
  <si>
    <t>JEFE DEL ÁREA VS</t>
  </si>
  <si>
    <t>Fdo.: María Díaz Calvo</t>
  </si>
  <si>
    <t xml:space="preserve"> - Los resultados de este Informe sólo afectan al material sometido a ensayo</t>
  </si>
  <si>
    <t xml:space="preserve"> - Este Informe no deberá reproducirse sin la aprobación de CYE CONTROL Y ESTUDIOS, S.L.</t>
  </si>
  <si>
    <t xml:space="preserve">Narón (A Coruña), </t>
  </si>
  <si>
    <r>
      <t>Ev</t>
    </r>
    <r>
      <rPr>
        <b/>
        <vertAlign val="subscript"/>
        <sz val="9"/>
        <rFont val="Arial"/>
        <family val="2"/>
      </rPr>
      <t>1</t>
    </r>
    <r>
      <rPr>
        <b/>
        <sz val="9"/>
        <rFont val="Arial"/>
        <family val="2"/>
      </rPr>
      <t xml:space="preserve"> (MPa):</t>
    </r>
  </si>
  <si>
    <r>
      <t>Ev</t>
    </r>
    <r>
      <rPr>
        <b/>
        <vertAlign val="subscript"/>
        <sz val="9"/>
        <rFont val="Arial"/>
        <family val="2"/>
      </rPr>
      <t>2</t>
    </r>
    <r>
      <rPr>
        <b/>
        <sz val="9"/>
        <rFont val="Arial"/>
        <family val="2"/>
      </rPr>
      <t xml:space="preserve"> (MPa):</t>
    </r>
  </si>
  <si>
    <r>
      <t>Ev</t>
    </r>
    <r>
      <rPr>
        <b/>
        <vertAlign val="subscript"/>
        <sz val="9"/>
        <rFont val="Arial"/>
        <family val="2"/>
      </rPr>
      <t>2</t>
    </r>
    <r>
      <rPr>
        <b/>
        <sz val="9"/>
        <rFont val="Arial"/>
        <family val="2"/>
      </rPr>
      <t>/Ev</t>
    </r>
    <r>
      <rPr>
        <b/>
        <vertAlign val="subscript"/>
        <sz val="9"/>
        <rFont val="Arial"/>
        <family val="2"/>
      </rPr>
      <t>1</t>
    </r>
    <r>
      <rPr>
        <b/>
        <sz val="9"/>
        <rFont val="Arial"/>
        <family val="2"/>
      </rPr>
      <t>:</t>
    </r>
  </si>
  <si>
    <t>12-03-2026</t>
  </si>
  <si>
    <t>S. A. de Obras y Servicios, COPASA</t>
  </si>
  <si>
    <t>RENOVACIÓN DE LAS VÍAS DEL RAMAL DE ACCESO AL PUERTO DE FERROL EN EL ÁMBITO DE TITULARIDAD DE LA APFSC HASTA SU CONEXIÓN CON EL NUEVO ACCESO FERROVIARO AL PUERTO EXTERIOR- DOTACIÓN DEL TERCER HILO" (P-1655)</t>
  </si>
  <si>
    <t>0167/26</t>
  </si>
  <si>
    <t>Carga con Placa</t>
  </si>
  <si>
    <t>26/1503</t>
  </si>
  <si>
    <t>PK 0+060</t>
  </si>
  <si>
    <t>S. A. de Obras y Servicios, COPASA Dirección: RUA DO PASEO, 25 - ENTLO. 32003 OURENSE OURENSE</t>
  </si>
  <si>
    <t>-</t>
  </si>
  <si>
    <t>12/03/2026</t>
  </si>
  <si>
    <t>Soleado</t>
  </si>
  <si>
    <t>Macadam (relleno saneo)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</si>
</sst>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90" formatCode="0.0"/>
    <numFmt numFmtId="194" formatCode="dd\-mm\-yy;@"/>
  </numFmts>
  <fonts count="19" x14ac:knownFonts="1">
    <font>
      <sz val="10"/>
      <name val="Arial"/>
    </font>
    <font>
      <b/>
      <sz val="10"/>
      <name val="Arial"/>
    </font>
    <font>
      <b/>
      <sz val="9"/>
      <name val="Arial"/>
      <family val="2"/>
    </font>
    <font>
      <sz val="9"/>
      <name val="Arial"/>
      <family val="2"/>
    </font>
    <font>
      <b/>
      <vertAlign val="subscript"/>
      <sz val="9"/>
      <name val="Arial"/>
      <family val="2"/>
    </font>
    <font>
      <sz val="8"/>
      <name val="Arial"/>
      <family val="2"/>
    </font>
    <font>
      <b/>
      <sz val="9"/>
      <color indexed="9"/>
      <name val="Arial"/>
      <family val="2"/>
    </font>
    <font>
      <i/>
      <sz val="8"/>
      <name val="Arial"/>
      <family val="2"/>
    </font>
    <font>
      <b/>
      <sz val="10"/>
      <name val="Symbol"/>
      <family val="1"/>
      <charset val="2"/>
    </font>
    <font>
      <b/>
      <vertAlign val="subscript"/>
      <sz val="10"/>
      <name val="Arial"/>
      <family val="2"/>
    </font>
    <font>
      <b/>
      <sz val="10"/>
      <name val="Arial"/>
      <family val="2"/>
    </font>
    <font>
      <sz val="10"/>
      <name val="Arial"/>
      <family val="2"/>
    </font>
    <font>
      <sz val="8"/>
      <name val="Arial"/>
      <family val="2"/>
    </font>
    <font>
      <b/>
      <u/>
      <sz val="14"/>
      <name val="Arial"/>
      <family val="2"/>
    </font>
    <font>
      <sz val="8"/>
      <name val="Symbol"/>
      <family val="1"/>
      <charset val="2"/>
    </font>
    <font>
      <sz val="10"/>
      <color indexed="47"/>
      <name val="Arial"/>
      <family val="2"/>
    </font>
    <font>
      <sz val="10"/>
      <color indexed="9"/>
      <name val="Arial"/>
      <family val="2"/>
    </font>
    <font>
      <i/>
      <sz val="10"/>
      <name val="Arial"/>
      <family val="2"/>
    </font>
    <font>
      <b/>
      <i/>
      <sz val="8"/>
      <name val="Arial"/>
      <family val="2"/>
    </font>
  </fonts>
  <fills count="4">
    <fill>
      <patternFill patternType="none"/>
    </fill>
    <fill>
      <patternFill patternType="gray125"/>
    </fill>
    <fill>
      <patternFill patternType="solid">
        <fgColor indexed="26"/>
        <bgColor indexed="64"/>
      </patternFill>
    </fill>
    <fill>
      <patternFill patternType="solid">
        <fgColor indexed="47"/>
        <bgColor indexed="64"/>
      </patternFill>
    </fill>
  </fills>
  <borders count="43">
    <border>
      <left/>
      <right/>
      <top/>
      <bottom/>
      <diagonal/>
    </border>
    <border>
      <left/>
      <right/>
      <top style="thin">
        <color indexed="64"/>
      </top>
      <bottom style="thin">
        <color indexed="64"/>
      </bottom>
      <diagonal/>
    </border>
    <border>
      <left style="double">
        <color indexed="64"/>
      </left>
      <right/>
      <top/>
      <bottom/>
      <diagonal/>
    </border>
    <border>
      <left style="thin">
        <color indexed="64"/>
      </left>
      <right style="thin">
        <color indexed="64"/>
      </right>
      <top/>
      <bottom/>
      <diagonal/>
    </border>
    <border>
      <left style="thin">
        <color indexed="64"/>
      </left>
      <right/>
      <top/>
      <bottom/>
      <diagonal/>
    </border>
    <border>
      <left style="thin">
        <color indexed="64"/>
      </left>
      <right style="double">
        <color indexed="64"/>
      </right>
      <top/>
      <bottom/>
      <diagonal/>
    </border>
    <border>
      <left style="double">
        <color indexed="64"/>
      </left>
      <right/>
      <top/>
      <bottom style="double">
        <color indexed="64"/>
      </bottom>
      <diagonal/>
    </border>
    <border>
      <left style="thin">
        <color indexed="64"/>
      </left>
      <right/>
      <top/>
      <bottom style="double">
        <color indexed="64"/>
      </bottom>
      <diagonal/>
    </border>
    <border>
      <left style="thin">
        <color indexed="64"/>
      </left>
      <right style="double">
        <color indexed="64"/>
      </right>
      <top/>
      <bottom style="double">
        <color indexed="64"/>
      </bottom>
      <diagonal/>
    </border>
    <border>
      <left/>
      <right style="thin">
        <color indexed="64"/>
      </right>
      <top style="hair">
        <color indexed="64"/>
      </top>
      <bottom style="hair">
        <color indexed="64"/>
      </bottom>
      <diagonal/>
    </border>
    <border>
      <left/>
      <right style="double">
        <color indexed="64"/>
      </right>
      <top style="hair">
        <color indexed="64"/>
      </top>
      <bottom style="hair">
        <color indexed="64"/>
      </bottom>
      <diagonal/>
    </border>
    <border>
      <left style="double">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style="double">
        <color indexed="64"/>
      </right>
      <top style="hair">
        <color indexed="64"/>
      </top>
      <bottom/>
      <diagonal/>
    </border>
    <border>
      <left style="thin">
        <color indexed="64"/>
      </left>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top style="hair">
        <color indexed="64"/>
      </top>
      <bottom/>
      <diagonal/>
    </border>
    <border>
      <left style="thin">
        <color indexed="64"/>
      </left>
      <right style="double">
        <color indexed="64"/>
      </right>
      <top style="hair">
        <color indexed="64"/>
      </top>
      <bottom/>
      <diagonal/>
    </border>
    <border>
      <left style="double">
        <color indexed="64"/>
      </left>
      <right style="thin">
        <color indexed="64"/>
      </right>
      <top style="hair">
        <color indexed="64"/>
      </top>
      <bottom style="hair">
        <color indexed="64"/>
      </bottom>
      <diagonal/>
    </border>
    <border>
      <left style="double">
        <color indexed="64"/>
      </left>
      <right/>
      <top style="hair">
        <color indexed="64"/>
      </top>
      <bottom/>
      <diagonal/>
    </border>
    <border>
      <left/>
      <right style="double">
        <color indexed="64"/>
      </right>
      <top style="thin">
        <color indexed="64"/>
      </top>
      <bottom style="thin">
        <color indexed="64"/>
      </bottom>
      <diagonal/>
    </border>
    <border>
      <left/>
      <right/>
      <top/>
      <bottom style="double">
        <color indexed="64"/>
      </bottom>
      <diagonal/>
    </border>
    <border>
      <left style="double">
        <color indexed="64"/>
      </left>
      <right/>
      <top style="thin">
        <color indexed="64"/>
      </top>
      <bottom style="thin">
        <color indexed="64"/>
      </bottom>
      <diagonal/>
    </border>
    <border>
      <left/>
      <right/>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double">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hair">
        <color indexed="64"/>
      </top>
      <bottom/>
      <diagonal/>
    </border>
    <border>
      <left style="thin">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thin">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thin">
        <color indexed="64"/>
      </top>
      <bottom/>
      <diagonal/>
    </border>
  </borders>
  <cellStyleXfs count="1">
    <xf numFmtId="0" fontId="0" fillId="0" borderId="0"/>
  </cellStyleXfs>
  <cellXfs count="155">
    <xf numFmtId="0" fontId="0" fillId="0" borderId="0" xfId="0"/>
    <xf numFmtId="0" fontId="0" fillId="0" borderId="0" xfId="0" applyAlignment="1">
      <alignment horizontal="centerContinuous"/>
    </xf>
    <xf numFmtId="0" fontId="3" fillId="0" borderId="0" xfId="0" applyFont="1"/>
    <xf numFmtId="0" fontId="2" fillId="0" borderId="1" xfId="0" applyFont="1" applyBorder="1" applyAlignment="1">
      <alignment horizontal="centerContinuous"/>
    </xf>
    <xf numFmtId="0" fontId="2" fillId="0" borderId="2" xfId="0" applyFont="1" applyBorder="1" applyAlignment="1">
      <alignment horizontal="center"/>
    </xf>
    <xf numFmtId="2" fontId="3" fillId="0" borderId="3" xfId="0" applyNumberFormat="1" applyFont="1" applyBorder="1" applyAlignment="1">
      <alignment horizontal="center"/>
    </xf>
    <xf numFmtId="2" fontId="3" fillId="0" borderId="4" xfId="0" applyNumberFormat="1" applyFont="1" applyBorder="1" applyAlignment="1">
      <alignment horizontal="center"/>
    </xf>
    <xf numFmtId="2" fontId="2" fillId="0" borderId="5" xfId="0" applyNumberFormat="1" applyFont="1" applyBorder="1" applyAlignment="1">
      <alignment horizontal="center"/>
    </xf>
    <xf numFmtId="2" fontId="2" fillId="0" borderId="1" xfId="0" applyNumberFormat="1" applyFont="1" applyBorder="1" applyAlignment="1">
      <alignment horizontal="centerContinuous"/>
    </xf>
    <xf numFmtId="0" fontId="2" fillId="0" borderId="6" xfId="0" applyFont="1" applyBorder="1" applyAlignment="1">
      <alignment horizontal="center"/>
    </xf>
    <xf numFmtId="2" fontId="3" fillId="0" borderId="7" xfId="0" applyNumberFormat="1" applyFont="1" applyBorder="1" applyAlignment="1">
      <alignment horizontal="center"/>
    </xf>
    <xf numFmtId="2" fontId="2" fillId="0" borderId="8" xfId="0" applyNumberFormat="1" applyFont="1" applyBorder="1" applyAlignment="1">
      <alignment horizontal="center"/>
    </xf>
    <xf numFmtId="2" fontId="3" fillId="0" borderId="9" xfId="0" applyNumberFormat="1" applyFont="1" applyBorder="1" applyAlignment="1">
      <alignment horizontal="center"/>
    </xf>
    <xf numFmtId="2" fontId="2" fillId="0" borderId="10" xfId="0" applyNumberFormat="1" applyFont="1" applyBorder="1" applyAlignment="1">
      <alignment horizontal="center"/>
    </xf>
    <xf numFmtId="0" fontId="2" fillId="0" borderId="11" xfId="0" applyFont="1" applyBorder="1" applyAlignment="1">
      <alignment horizontal="center"/>
    </xf>
    <xf numFmtId="2" fontId="3" fillId="0" borderId="12" xfId="0" applyNumberFormat="1" applyFont="1" applyBorder="1" applyAlignment="1">
      <alignment horizontal="center"/>
    </xf>
    <xf numFmtId="2" fontId="3" fillId="0" borderId="13" xfId="0" applyNumberFormat="1" applyFont="1" applyBorder="1" applyAlignment="1">
      <alignment horizontal="center"/>
    </xf>
    <xf numFmtId="2" fontId="2" fillId="0" borderId="14" xfId="0" applyNumberFormat="1" applyFont="1" applyBorder="1" applyAlignment="1">
      <alignment horizontal="center"/>
    </xf>
    <xf numFmtId="2" fontId="3" fillId="0" borderId="15" xfId="0" applyNumberFormat="1" applyFont="1" applyBorder="1" applyAlignment="1">
      <alignment horizontal="center"/>
    </xf>
    <xf numFmtId="2" fontId="2" fillId="0" borderId="16" xfId="0" applyNumberFormat="1" applyFont="1" applyBorder="1" applyAlignment="1">
      <alignment horizontal="center"/>
    </xf>
    <xf numFmtId="2" fontId="3" fillId="0" borderId="17" xfId="0" applyNumberFormat="1" applyFont="1" applyBorder="1" applyAlignment="1">
      <alignment horizontal="center"/>
    </xf>
    <xf numFmtId="2" fontId="2" fillId="0" borderId="18" xfId="0" applyNumberFormat="1" applyFont="1" applyBorder="1" applyAlignment="1">
      <alignment horizontal="center"/>
    </xf>
    <xf numFmtId="0" fontId="2" fillId="0" borderId="19" xfId="0" applyFont="1" applyBorder="1" applyAlignment="1">
      <alignment horizontal="center"/>
    </xf>
    <xf numFmtId="0" fontId="0" fillId="0" borderId="0" xfId="0" applyAlignment="1">
      <alignment horizontal="left"/>
    </xf>
    <xf numFmtId="0" fontId="0" fillId="0" borderId="1" xfId="0" applyBorder="1" applyAlignment="1">
      <alignment horizontal="centerContinuous"/>
    </xf>
    <xf numFmtId="2" fontId="2" fillId="0" borderId="20" xfId="0" applyNumberFormat="1" applyFont="1" applyBorder="1" applyAlignment="1">
      <alignment horizontal="center"/>
    </xf>
    <xf numFmtId="2" fontId="2" fillId="0" borderId="2" xfId="0" applyNumberFormat="1" applyFont="1" applyBorder="1" applyAlignment="1">
      <alignment horizontal="center"/>
    </xf>
    <xf numFmtId="2" fontId="0" fillId="0" borderId="0" xfId="0" applyNumberFormat="1"/>
    <xf numFmtId="2" fontId="6" fillId="0" borderId="21" xfId="0" applyNumberFormat="1" applyFont="1" applyBorder="1" applyAlignment="1">
      <alignment horizontal="right"/>
    </xf>
    <xf numFmtId="2" fontId="6" fillId="0" borderId="21" xfId="0" applyNumberFormat="1" applyFont="1" applyBorder="1" applyAlignment="1"/>
    <xf numFmtId="0" fontId="0" fillId="0" borderId="22" xfId="0" applyBorder="1"/>
    <xf numFmtId="0" fontId="7" fillId="0" borderId="0" xfId="0" applyFont="1" applyAlignment="1">
      <alignment horizontal="right"/>
    </xf>
    <xf numFmtId="2" fontId="6" fillId="0" borderId="23" xfId="0" applyNumberFormat="1" applyFont="1" applyBorder="1" applyAlignment="1">
      <alignment horizontal="left"/>
    </xf>
    <xf numFmtId="0" fontId="10" fillId="0" borderId="24" xfId="0" applyFont="1" applyFill="1" applyBorder="1" applyAlignment="1" applyProtection="1">
      <alignment horizontal="right"/>
    </xf>
    <xf numFmtId="0" fontId="2" fillId="0" borderId="25" xfId="0" applyFont="1" applyBorder="1" applyAlignment="1">
      <alignment horizontal="center" vertical="center"/>
    </xf>
    <xf numFmtId="0" fontId="10" fillId="2" borderId="4" xfId="0" applyFont="1" applyFill="1" applyBorder="1"/>
    <xf numFmtId="0" fontId="0" fillId="2" borderId="0" xfId="0" applyFill="1" applyBorder="1" applyAlignment="1">
      <alignment horizontal="left"/>
    </xf>
    <xf numFmtId="0" fontId="1" fillId="2" borderId="0" xfId="0" applyFont="1" applyFill="1" applyBorder="1"/>
    <xf numFmtId="0" fontId="11" fillId="2" borderId="26" xfId="0" applyFont="1" applyFill="1" applyBorder="1" applyAlignment="1">
      <alignment horizontal="left"/>
    </xf>
    <xf numFmtId="0" fontId="1" fillId="2" borderId="4" xfId="0" applyFont="1" applyFill="1" applyBorder="1"/>
    <xf numFmtId="0" fontId="0" fillId="2" borderId="0" xfId="0" applyFill="1"/>
    <xf numFmtId="0" fontId="2" fillId="2" borderId="0" xfId="0" applyFont="1" applyFill="1" applyBorder="1"/>
    <xf numFmtId="0" fontId="0" fillId="2" borderId="0" xfId="0" applyFill="1" applyBorder="1" applyAlignment="1">
      <alignment horizontal="center"/>
    </xf>
    <xf numFmtId="3" fontId="0" fillId="2" borderId="26" xfId="0" quotePrefix="1" applyNumberFormat="1" applyFill="1" applyBorder="1" applyAlignment="1">
      <alignment horizontal="left"/>
    </xf>
    <xf numFmtId="14" fontId="0" fillId="2" borderId="0" xfId="0" quotePrefix="1" applyNumberFormat="1" applyFill="1" applyBorder="1" applyAlignment="1">
      <alignment horizontal="left"/>
    </xf>
    <xf numFmtId="0" fontId="0" fillId="2" borderId="26" xfId="0" applyFill="1" applyBorder="1" applyAlignment="1">
      <alignment horizontal="left"/>
    </xf>
    <xf numFmtId="0" fontId="0" fillId="2" borderId="26" xfId="0" applyFill="1" applyBorder="1"/>
    <xf numFmtId="0" fontId="1" fillId="2" borderId="27" xfId="0" quotePrefix="1" applyFont="1" applyFill="1" applyBorder="1" applyAlignment="1">
      <alignment horizontal="left"/>
    </xf>
    <xf numFmtId="0" fontId="10" fillId="2" borderId="28" xfId="0" applyFont="1" applyFill="1" applyBorder="1"/>
    <xf numFmtId="0" fontId="0" fillId="2" borderId="29" xfId="0" applyFill="1" applyBorder="1"/>
    <xf numFmtId="0" fontId="10" fillId="2" borderId="0" xfId="0" applyFont="1" applyFill="1" applyBorder="1"/>
    <xf numFmtId="0" fontId="10" fillId="2" borderId="0" xfId="0" applyFont="1" applyFill="1"/>
    <xf numFmtId="0" fontId="3" fillId="2" borderId="30" xfId="0" applyFont="1" applyFill="1" applyBorder="1" applyAlignment="1">
      <alignment horizontal="right"/>
    </xf>
    <xf numFmtId="0" fontId="0" fillId="3" borderId="0" xfId="0" applyFill="1" applyProtection="1">
      <protection locked="0"/>
    </xf>
    <xf numFmtId="2" fontId="3" fillId="3" borderId="3" xfId="0" applyNumberFormat="1" applyFont="1" applyFill="1" applyBorder="1" applyAlignment="1" applyProtection="1">
      <alignment horizontal="center"/>
      <protection locked="0"/>
    </xf>
    <xf numFmtId="2" fontId="3" fillId="3" borderId="9" xfId="0" applyNumberFormat="1" applyFont="1" applyFill="1" applyBorder="1" applyAlignment="1" applyProtection="1">
      <alignment horizontal="center"/>
      <protection locked="0"/>
    </xf>
    <xf numFmtId="2" fontId="3" fillId="3" borderId="12" xfId="0" applyNumberFormat="1" applyFont="1" applyFill="1" applyBorder="1" applyAlignment="1" applyProtection="1">
      <alignment horizontal="center"/>
      <protection locked="0"/>
    </xf>
    <xf numFmtId="2" fontId="3" fillId="3" borderId="13" xfId="0" applyNumberFormat="1" applyFont="1" applyFill="1" applyBorder="1" applyAlignment="1" applyProtection="1">
      <alignment horizontal="center"/>
      <protection locked="0"/>
    </xf>
    <xf numFmtId="2" fontId="3" fillId="3" borderId="4" xfId="0" applyNumberFormat="1" applyFont="1" applyFill="1" applyBorder="1" applyAlignment="1" applyProtection="1">
      <alignment horizontal="center"/>
      <protection locked="0"/>
    </xf>
    <xf numFmtId="2" fontId="3" fillId="3" borderId="15" xfId="0" applyNumberFormat="1" applyFont="1" applyFill="1" applyBorder="1" applyAlignment="1" applyProtection="1">
      <alignment horizontal="center"/>
      <protection locked="0"/>
    </xf>
    <xf numFmtId="2" fontId="3" fillId="3" borderId="17" xfId="0" applyNumberFormat="1" applyFont="1" applyFill="1" applyBorder="1" applyAlignment="1" applyProtection="1">
      <alignment horizontal="center"/>
      <protection locked="0"/>
    </xf>
    <xf numFmtId="2" fontId="3" fillId="3" borderId="7" xfId="0" applyNumberFormat="1" applyFont="1" applyFill="1" applyBorder="1" applyAlignment="1" applyProtection="1">
      <alignment horizontal="center"/>
      <protection locked="0"/>
    </xf>
    <xf numFmtId="0" fontId="0" fillId="3" borderId="0" xfId="0" applyFill="1" applyAlignment="1" applyProtection="1">
      <alignment horizontal="left"/>
      <protection locked="0"/>
    </xf>
    <xf numFmtId="0" fontId="10" fillId="0" borderId="0" xfId="0" applyFont="1" applyFill="1" applyBorder="1" applyAlignment="1" applyProtection="1">
      <alignment horizontal="right"/>
    </xf>
    <xf numFmtId="0" fontId="14" fillId="2" borderId="28" xfId="0" applyFont="1" applyFill="1" applyBorder="1" applyAlignment="1">
      <alignment horizontal="right" wrapText="1"/>
    </xf>
    <xf numFmtId="0" fontId="0" fillId="3" borderId="0" xfId="0" applyFill="1" applyProtection="1"/>
    <xf numFmtId="0" fontId="0" fillId="0" borderId="0" xfId="0" applyProtection="1"/>
    <xf numFmtId="0" fontId="15" fillId="3" borderId="0" xfId="0" applyFont="1" applyFill="1" applyProtection="1"/>
    <xf numFmtId="0" fontId="0" fillId="3" borderId="24" xfId="0" applyFill="1" applyBorder="1" applyProtection="1"/>
    <xf numFmtId="0" fontId="10" fillId="0" borderId="0" xfId="0" applyFont="1" applyAlignment="1" applyProtection="1">
      <alignment horizontal="right"/>
    </xf>
    <xf numFmtId="0" fontId="8" fillId="0" borderId="0" xfId="0" applyFont="1" applyAlignment="1" applyProtection="1">
      <alignment horizontal="right"/>
    </xf>
    <xf numFmtId="0" fontId="0" fillId="0" borderId="0" xfId="0" applyFill="1" applyProtection="1"/>
    <xf numFmtId="0" fontId="2" fillId="0" borderId="25" xfId="0" applyFont="1" applyBorder="1" applyAlignment="1" applyProtection="1">
      <alignment horizontal="center" vertical="center"/>
    </xf>
    <xf numFmtId="2" fontId="2" fillId="0" borderId="2" xfId="0" applyNumberFormat="1" applyFont="1" applyBorder="1" applyAlignment="1" applyProtection="1">
      <alignment horizontal="center"/>
    </xf>
    <xf numFmtId="2" fontId="2" fillId="0" borderId="10" xfId="0" applyNumberFormat="1" applyFont="1" applyBorder="1" applyAlignment="1" applyProtection="1">
      <alignment horizontal="center"/>
    </xf>
    <xf numFmtId="0" fontId="2" fillId="0" borderId="19" xfId="0" applyFont="1" applyBorder="1" applyAlignment="1" applyProtection="1">
      <alignment horizontal="center"/>
    </xf>
    <xf numFmtId="0" fontId="2" fillId="0" borderId="2" xfId="0" applyFont="1" applyBorder="1" applyAlignment="1" applyProtection="1">
      <alignment horizontal="center"/>
    </xf>
    <xf numFmtId="2" fontId="2" fillId="0" borderId="31" xfId="0" applyNumberFormat="1" applyFont="1" applyBorder="1" applyAlignment="1" applyProtection="1">
      <alignment horizontal="center"/>
    </xf>
    <xf numFmtId="0" fontId="2" fillId="0" borderId="11" xfId="0" applyFont="1" applyBorder="1" applyAlignment="1" applyProtection="1">
      <alignment horizontal="center"/>
    </xf>
    <xf numFmtId="0" fontId="2" fillId="2" borderId="30" xfId="0" quotePrefix="1" applyFont="1" applyFill="1" applyBorder="1" applyAlignment="1" applyProtection="1">
      <alignment horizontal="left" vertical="center"/>
    </xf>
    <xf numFmtId="1" fontId="2" fillId="2" borderId="32" xfId="0" applyNumberFormat="1" applyFont="1" applyFill="1" applyBorder="1" applyAlignment="1" applyProtection="1">
      <alignment horizontal="center" vertical="center"/>
    </xf>
    <xf numFmtId="2" fontId="2" fillId="0" borderId="20" xfId="0" applyNumberFormat="1" applyFont="1" applyBorder="1" applyAlignment="1" applyProtection="1">
      <alignment horizontal="center"/>
    </xf>
    <xf numFmtId="2" fontId="2" fillId="0" borderId="14" xfId="0" applyNumberFormat="1" applyFont="1" applyBorder="1" applyAlignment="1" applyProtection="1">
      <alignment horizontal="center"/>
    </xf>
    <xf numFmtId="2" fontId="6" fillId="0" borderId="23" xfId="0" applyNumberFormat="1" applyFont="1" applyBorder="1" applyAlignment="1" applyProtection="1">
      <alignment horizontal="left"/>
    </xf>
    <xf numFmtId="0" fontId="2" fillId="0" borderId="1" xfId="0" applyFont="1" applyBorder="1" applyAlignment="1" applyProtection="1">
      <alignment horizontal="centerContinuous"/>
    </xf>
    <xf numFmtId="2" fontId="6" fillId="0" borderId="21" xfId="0" applyNumberFormat="1" applyFont="1" applyBorder="1" applyAlignment="1" applyProtection="1">
      <alignment horizontal="right"/>
    </xf>
    <xf numFmtId="2" fontId="2" fillId="0" borderId="5" xfId="0" applyNumberFormat="1" applyFont="1" applyBorder="1" applyAlignment="1" applyProtection="1">
      <alignment horizontal="center"/>
    </xf>
    <xf numFmtId="2" fontId="2" fillId="0" borderId="18" xfId="0" applyNumberFormat="1" applyFont="1" applyBorder="1" applyAlignment="1" applyProtection="1">
      <alignment horizontal="center"/>
    </xf>
    <xf numFmtId="0" fontId="0" fillId="0" borderId="1" xfId="0" applyBorder="1" applyAlignment="1" applyProtection="1">
      <alignment horizontal="centerContinuous"/>
    </xf>
    <xf numFmtId="2" fontId="2" fillId="0" borderId="1" xfId="0" applyNumberFormat="1" applyFont="1" applyBorder="1" applyAlignment="1" applyProtection="1">
      <alignment horizontal="centerContinuous"/>
    </xf>
    <xf numFmtId="2" fontId="6" fillId="0" borderId="21" xfId="0" applyNumberFormat="1" applyFont="1" applyBorder="1" applyAlignment="1" applyProtection="1"/>
    <xf numFmtId="2" fontId="2" fillId="0" borderId="16" xfId="0" applyNumberFormat="1" applyFont="1" applyBorder="1" applyAlignment="1" applyProtection="1">
      <alignment horizontal="center"/>
    </xf>
    <xf numFmtId="0" fontId="2" fillId="2" borderId="33" xfId="0" quotePrefix="1" applyFont="1" applyFill="1" applyBorder="1" applyAlignment="1" applyProtection="1">
      <alignment horizontal="left" vertical="center"/>
    </xf>
    <xf numFmtId="1" fontId="2" fillId="2" borderId="34" xfId="0" applyNumberFormat="1" applyFont="1" applyFill="1" applyBorder="1" applyAlignment="1" applyProtection="1">
      <alignment horizontal="center" vertical="center"/>
    </xf>
    <xf numFmtId="0" fontId="2" fillId="0" borderId="6" xfId="0" applyFont="1" applyBorder="1" applyAlignment="1" applyProtection="1">
      <alignment horizontal="center"/>
    </xf>
    <xf numFmtId="2" fontId="2" fillId="0" borderId="8" xfId="0" applyNumberFormat="1" applyFont="1" applyBorder="1" applyAlignment="1" applyProtection="1">
      <alignment horizontal="center"/>
    </xf>
    <xf numFmtId="190" fontId="2" fillId="2" borderId="32" xfId="0" applyNumberFormat="1" applyFont="1" applyFill="1" applyBorder="1" applyAlignment="1" applyProtection="1">
      <alignment horizontal="center" vertical="center"/>
    </xf>
    <xf numFmtId="49" fontId="0" fillId="3" borderId="0" xfId="0" applyNumberFormat="1" applyFill="1" applyProtection="1">
      <protection locked="0"/>
    </xf>
    <xf numFmtId="49" fontId="0" fillId="3" borderId="24" xfId="0" applyNumberFormat="1" applyFill="1" applyBorder="1" applyProtection="1">
      <protection locked="0"/>
    </xf>
    <xf numFmtId="0" fontId="16" fillId="0" borderId="0" xfId="0" applyFont="1" applyProtection="1"/>
    <xf numFmtId="0" fontId="1" fillId="2" borderId="0" xfId="0" applyFont="1" applyFill="1" applyBorder="1" applyAlignment="1"/>
    <xf numFmtId="0" fontId="0" fillId="2" borderId="0" xfId="0" applyFill="1" applyBorder="1" applyAlignment="1"/>
    <xf numFmtId="0" fontId="0" fillId="2" borderId="0" xfId="0" quotePrefix="1" applyFill="1" applyBorder="1" applyAlignment="1"/>
    <xf numFmtId="1" fontId="2" fillId="2" borderId="32" xfId="0" applyNumberFormat="1" applyFont="1" applyFill="1" applyBorder="1" applyAlignment="1">
      <alignment horizontal="left"/>
    </xf>
    <xf numFmtId="0" fontId="0" fillId="0" borderId="0" xfId="0" quotePrefix="1" applyAlignment="1">
      <alignment horizontal="left" indent="1"/>
    </xf>
    <xf numFmtId="0" fontId="0" fillId="0" borderId="0" xfId="0" applyAlignment="1">
      <alignment horizontal="left" indent="1"/>
    </xf>
    <xf numFmtId="0" fontId="10" fillId="2" borderId="0" xfId="0" applyFont="1" applyFill="1" applyBorder="1" applyAlignment="1"/>
    <xf numFmtId="0" fontId="0" fillId="2" borderId="0" xfId="0" applyFill="1" applyAlignment="1"/>
    <xf numFmtId="0" fontId="5" fillId="2" borderId="28" xfId="0" applyFont="1" applyFill="1" applyBorder="1" applyAlignment="1">
      <alignment horizontal="left" wrapText="1"/>
    </xf>
    <xf numFmtId="0" fontId="0" fillId="0" borderId="0" xfId="0" applyAlignment="1"/>
    <xf numFmtId="0" fontId="17" fillId="0" borderId="0" xfId="0" applyFont="1" applyAlignment="1">
      <alignment horizontal="center"/>
    </xf>
    <xf numFmtId="0" fontId="0" fillId="0" borderId="0" xfId="0" applyAlignment="1">
      <alignment horizontal="center"/>
    </xf>
    <xf numFmtId="190" fontId="2" fillId="2" borderId="32" xfId="0" applyNumberFormat="1" applyFont="1" applyFill="1" applyBorder="1" applyAlignment="1">
      <alignment horizontal="left"/>
    </xf>
    <xf numFmtId="49" fontId="0" fillId="0" borderId="0" xfId="0" applyNumberFormat="1"/>
    <xf numFmtId="49" fontId="3" fillId="3" borderId="0" xfId="0" applyNumberFormat="1" applyFont="1" applyFill="1" applyProtection="1">
      <protection locked="0"/>
    </xf>
    <xf numFmtId="49" fontId="3" fillId="3" borderId="0" xfId="0" applyNumberFormat="1" applyFont="1" applyFill="1" applyAlignment="1" applyProtection="1">
      <alignment horizontal="left"/>
      <protection locked="0"/>
    </xf>
    <xf numFmtId="49" fontId="3" fillId="3" borderId="0" xfId="0" quotePrefix="1" applyNumberFormat="1" applyFont="1" applyFill="1" applyProtection="1">
      <protection locked="0"/>
    </xf>
    <xf numFmtId="49" fontId="3" fillId="3" borderId="24" xfId="0" applyNumberFormat="1" applyFont="1" applyFill="1" applyBorder="1" applyProtection="1">
      <protection locked="0"/>
    </xf>
    <xf numFmtId="0" fontId="3" fillId="3" borderId="0" xfId="0" applyFont="1" applyFill="1" applyProtection="1">
      <protection locked="0"/>
    </xf>
    <xf numFmtId="0" fontId="10" fillId="0" borderId="0" xfId="0" applyFont="1" applyFill="1" applyBorder="1" applyAlignment="1" applyProtection="1">
      <alignment horizontal="right"/>
    </xf>
    <xf numFmtId="0" fontId="10" fillId="0" borderId="0" xfId="0" applyFont="1" applyFill="1" applyBorder="1" applyAlignment="1" applyProtection="1">
      <alignment horizontal="right" vertical="top"/>
    </xf>
    <xf numFmtId="0" fontId="2" fillId="0" borderId="36" xfId="0" applyFont="1" applyBorder="1" applyAlignment="1" applyProtection="1">
      <alignment horizontal="center" vertical="center" wrapText="1"/>
    </xf>
    <xf numFmtId="0" fontId="2" fillId="0" borderId="37" xfId="0" applyFont="1" applyBorder="1" applyAlignment="1" applyProtection="1">
      <alignment horizontal="center" vertical="center" wrapText="1"/>
    </xf>
    <xf numFmtId="0" fontId="2" fillId="0" borderId="38" xfId="0" applyFont="1" applyBorder="1" applyAlignment="1" applyProtection="1">
      <alignment horizontal="center" vertical="center" wrapText="1"/>
    </xf>
    <xf numFmtId="0" fontId="2" fillId="0" borderId="27" xfId="0" applyFont="1" applyBorder="1" applyAlignment="1" applyProtection="1">
      <alignment horizontal="center" vertical="center" wrapText="1"/>
    </xf>
    <xf numFmtId="0" fontId="2" fillId="0" borderId="39" xfId="0" applyFont="1" applyBorder="1" applyAlignment="1" applyProtection="1">
      <alignment horizontal="center" vertical="center"/>
    </xf>
    <xf numFmtId="0" fontId="2" fillId="0" borderId="40" xfId="0" applyFont="1" applyBorder="1" applyAlignment="1" applyProtection="1">
      <alignment horizontal="center" vertical="center"/>
    </xf>
    <xf numFmtId="0" fontId="2" fillId="0" borderId="41" xfId="0" applyFont="1" applyBorder="1" applyAlignment="1" applyProtection="1">
      <alignment horizontal="center" vertical="center"/>
    </xf>
    <xf numFmtId="0" fontId="10" fillId="0" borderId="0" xfId="0" applyFont="1" applyAlignment="1" applyProtection="1">
      <alignment horizontal="right" shrinkToFit="1"/>
    </xf>
    <xf numFmtId="0" fontId="10" fillId="0" borderId="35" xfId="0" applyFont="1" applyFill="1" applyBorder="1" applyAlignment="1" applyProtection="1">
      <alignment horizontal="right"/>
    </xf>
    <xf numFmtId="0" fontId="10" fillId="0" borderId="24" xfId="0" applyFont="1" applyFill="1" applyBorder="1" applyAlignment="1" applyProtection="1">
      <alignment horizontal="right"/>
    </xf>
    <xf numFmtId="0" fontId="2" fillId="0" borderId="23" xfId="0" applyFont="1" applyBorder="1" applyAlignment="1" applyProtection="1">
      <alignment horizontal="center"/>
    </xf>
    <xf numFmtId="0" fontId="2" fillId="0" borderId="1" xfId="0" applyFont="1" applyBorder="1" applyAlignment="1" applyProtection="1">
      <alignment horizontal="center"/>
    </xf>
    <xf numFmtId="0" fontId="2" fillId="0" borderId="21" xfId="0" applyFont="1" applyBorder="1" applyAlignment="1" applyProtection="1">
      <alignment horizontal="center"/>
    </xf>
    <xf numFmtId="0" fontId="1" fillId="2" borderId="33" xfId="0" quotePrefix="1" applyFont="1" applyFill="1" applyBorder="1" applyAlignment="1">
      <alignment horizontal="left" wrapText="1"/>
    </xf>
    <xf numFmtId="0" fontId="1" fillId="2" borderId="42" xfId="0" quotePrefix="1" applyFont="1" applyFill="1" applyBorder="1" applyAlignment="1">
      <alignment horizontal="left" wrapText="1"/>
    </xf>
    <xf numFmtId="0" fontId="1" fillId="2" borderId="34" xfId="0" quotePrefix="1" applyFont="1" applyFill="1" applyBorder="1" applyAlignment="1">
      <alignment horizontal="left" wrapText="1"/>
    </xf>
    <xf numFmtId="0" fontId="1" fillId="2" borderId="4" xfId="0" quotePrefix="1" applyFont="1" applyFill="1" applyBorder="1" applyAlignment="1">
      <alignment horizontal="left" wrapText="1"/>
    </xf>
    <xf numFmtId="0" fontId="1" fillId="2" borderId="0" xfId="0" quotePrefix="1" applyFont="1" applyFill="1" applyBorder="1" applyAlignment="1">
      <alignment horizontal="left" wrapText="1"/>
    </xf>
    <xf numFmtId="0" fontId="1" fillId="2" borderId="26" xfId="0" quotePrefix="1" applyFont="1" applyFill="1" applyBorder="1" applyAlignment="1">
      <alignment horizontal="left" wrapText="1"/>
    </xf>
    <xf numFmtId="0" fontId="0" fillId="0" borderId="0" xfId="0" applyAlignment="1">
      <alignment horizontal="right"/>
    </xf>
    <xf numFmtId="194" fontId="0" fillId="0" borderId="0" xfId="0" applyNumberFormat="1" applyAlignment="1">
      <alignment horizontal="left"/>
    </xf>
    <xf numFmtId="0" fontId="18" fillId="0" borderId="0" xfId="0" applyFont="1" applyAlignment="1" applyProtection="1">
      <alignment horizontal="center"/>
    </xf>
    <xf numFmtId="0" fontId="13" fillId="0" borderId="40" xfId="0" applyFont="1" applyBorder="1" applyAlignment="1">
      <alignment horizontal="center" vertical="center"/>
    </xf>
    <xf numFmtId="0" fontId="2" fillId="0" borderId="38"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39" xfId="0" applyFont="1" applyBorder="1" applyAlignment="1">
      <alignment horizontal="center" vertical="center"/>
    </xf>
    <xf numFmtId="0" fontId="2" fillId="0" borderId="40" xfId="0" applyFont="1" applyBorder="1" applyAlignment="1">
      <alignment horizontal="center" vertical="center"/>
    </xf>
    <xf numFmtId="0" fontId="2" fillId="0" borderId="41" xfId="0" applyFont="1" applyBorder="1" applyAlignment="1">
      <alignment horizontal="center" vertical="center"/>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23" xfId="0" applyFont="1" applyBorder="1" applyAlignment="1">
      <alignment horizontal="center"/>
    </xf>
    <xf numFmtId="0" fontId="2" fillId="0" borderId="1" xfId="0" applyFont="1" applyBorder="1" applyAlignment="1">
      <alignment horizontal="center"/>
    </xf>
    <xf numFmtId="0" fontId="2" fillId="0" borderId="21" xfId="0" applyFont="1" applyBorder="1" applyAlignment="1">
      <alignment horizontal="center"/>
    </xf>
    <xf numFmtId="0" fontId="1" fillId="0" borderId="0" xfId="0" applyFont="1" applyAlignment="1">
      <alignment horizontal="lef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513100561523945E-2"/>
          <c:y val="0.13486863767706248"/>
          <c:w val="0.83271451040684397"/>
          <c:h val="0.70065902012717818"/>
        </c:manualLayout>
      </c:layout>
      <c:scatterChart>
        <c:scatterStyle val="lineMarker"/>
        <c:varyColors val="0"/>
        <c:ser>
          <c:idx val="0"/>
          <c:order val="0"/>
          <c:tx>
            <c:strRef>
              <c:f>DATINF!$A$31</c:f>
              <c:strCache>
                <c:ptCount val="1"/>
                <c:pt idx="0">
                  <c:v>Primer ciclo de carga</c:v>
                </c:pt>
              </c:strCache>
            </c:strRef>
          </c:tx>
          <c:spPr>
            <a:ln w="12700">
              <a:solidFill>
                <a:srgbClr val="3366FF"/>
              </a:solidFill>
              <a:prstDash val="solid"/>
            </a:ln>
          </c:spPr>
          <c:marker>
            <c:symbol val="diamond"/>
            <c:size val="5"/>
            <c:spPr>
              <a:solidFill>
                <a:srgbClr val="000080"/>
              </a:solidFill>
              <a:ln>
                <a:solidFill>
                  <a:srgbClr val="000080"/>
                </a:solidFill>
                <a:prstDash val="solid"/>
              </a:ln>
            </c:spPr>
          </c:marker>
          <c:dPt>
            <c:idx val="4"/>
            <c:marker>
              <c:spPr>
                <a:solidFill>
                  <a:srgbClr val="3366FF"/>
                </a:solidFill>
                <a:ln>
                  <a:solidFill>
                    <a:srgbClr val="3366FF"/>
                  </a:solidFill>
                  <a:prstDash val="solid"/>
                </a:ln>
              </c:spPr>
            </c:marker>
            <c:bubble3D val="0"/>
            <c:extLst>
              <c:ext xmlns:c16="http://schemas.microsoft.com/office/drawing/2014/chart" uri="{C3380CC4-5D6E-409C-BE32-E72D297353CC}">
                <c16:uniqueId val="{00000001-8A73-2F43-9E82-0C9060CD5962}"/>
              </c:ext>
            </c:extLst>
          </c:dPt>
          <c:xVal>
            <c:numRef>
              <c:f>DATINF!$A$32:$A$39</c:f>
              <c:numCache>
                <c:formatCode>General</c:formatCode>
                <c:ptCount val="8"/>
                <c:pt idx="0" formatCode="0.00">
                  <c:v>0</c:v>
                </c:pt>
                <c:pt idx="1">
                  <c:v>3.5999999999999997E-2</c:v>
                </c:pt>
                <c:pt idx="2">
                  <c:v>7.4999999999999997E-2</c:v>
                </c:pt>
                <c:pt idx="3">
                  <c:v>0.107</c:v>
                </c:pt>
                <c:pt idx="4">
                  <c:v>0.14299999999999999</c:v>
                </c:pt>
                <c:pt idx="5">
                  <c:v>0.17499999999999999</c:v>
                </c:pt>
                <c:pt idx="6">
                  <c:v>0.214</c:v>
                </c:pt>
                <c:pt idx="7" formatCode="0.00">
                  <c:v>0.25</c:v>
                </c:pt>
              </c:numCache>
            </c:numRef>
          </c:xVal>
          <c:yVal>
            <c:numRef>
              <c:f>DATINF!$E$32:$E$39</c:f>
              <c:numCache>
                <c:formatCode>0.00</c:formatCode>
                <c:ptCount val="8"/>
                <c:pt idx="0">
                  <c:v>0</c:v>
                </c:pt>
                <c:pt idx="1">
                  <c:v>0.21666666666666665</c:v>
                </c:pt>
                <c:pt idx="2">
                  <c:v>0.75</c:v>
                </c:pt>
                <c:pt idx="3">
                  <c:v>1.0566666666666666</c:v>
                </c:pt>
                <c:pt idx="4">
                  <c:v>1.36</c:v>
                </c:pt>
                <c:pt idx="5">
                  <c:v>1.6066666666666667</c:v>
                </c:pt>
                <c:pt idx="6">
                  <c:v>1.9433333333333334</c:v>
                </c:pt>
                <c:pt idx="7">
                  <c:v>2.2400000000000002</c:v>
                </c:pt>
              </c:numCache>
            </c:numRef>
          </c:yVal>
          <c:smooth val="0"/>
          <c:extLst>
            <c:ext xmlns:c16="http://schemas.microsoft.com/office/drawing/2014/chart" uri="{C3380CC4-5D6E-409C-BE32-E72D297353CC}">
              <c16:uniqueId val="{00000002-8A73-2F43-9E82-0C9060CD5962}"/>
            </c:ext>
          </c:extLst>
        </c:ser>
        <c:ser>
          <c:idx val="1"/>
          <c:order val="1"/>
          <c:tx>
            <c:v>Descarga</c:v>
          </c:tx>
          <c:spPr>
            <a:ln w="12700">
              <a:solidFill>
                <a:srgbClr val="339933"/>
              </a:solidFill>
              <a:prstDash val="solid"/>
            </a:ln>
          </c:spPr>
          <c:marker>
            <c:symbol val="square"/>
            <c:size val="5"/>
            <c:spPr>
              <a:solidFill>
                <a:srgbClr val="339933"/>
              </a:solidFill>
              <a:ln>
                <a:solidFill>
                  <a:srgbClr val="339933"/>
                </a:solidFill>
                <a:prstDash val="solid"/>
              </a:ln>
            </c:spPr>
          </c:marker>
          <c:xVal>
            <c:numRef>
              <c:f>DATINF!$A$40:$A$43</c:f>
              <c:numCache>
                <c:formatCode>General</c:formatCode>
                <c:ptCount val="4"/>
                <c:pt idx="0" formatCode="0.00">
                  <c:v>0.25</c:v>
                </c:pt>
                <c:pt idx="1">
                  <c:v>0.125</c:v>
                </c:pt>
                <c:pt idx="2">
                  <c:v>6.25E-2</c:v>
                </c:pt>
                <c:pt idx="3" formatCode="0.00">
                  <c:v>0</c:v>
                </c:pt>
              </c:numCache>
            </c:numRef>
          </c:xVal>
          <c:yVal>
            <c:numRef>
              <c:f>DATINF!$E$40:$E$43</c:f>
              <c:numCache>
                <c:formatCode>0.00</c:formatCode>
                <c:ptCount val="4"/>
                <c:pt idx="0">
                  <c:v>2.2400000000000002</c:v>
                </c:pt>
                <c:pt idx="1">
                  <c:v>2.1133333333333333</c:v>
                </c:pt>
                <c:pt idx="2">
                  <c:v>1.9366666666666668</c:v>
                </c:pt>
                <c:pt idx="3">
                  <c:v>1.6233333333333331</c:v>
                </c:pt>
              </c:numCache>
            </c:numRef>
          </c:yVal>
          <c:smooth val="0"/>
          <c:extLst>
            <c:ext xmlns:c16="http://schemas.microsoft.com/office/drawing/2014/chart" uri="{C3380CC4-5D6E-409C-BE32-E72D297353CC}">
              <c16:uniqueId val="{00000003-8A73-2F43-9E82-0C9060CD5962}"/>
            </c:ext>
          </c:extLst>
        </c:ser>
        <c:ser>
          <c:idx val="2"/>
          <c:order val="2"/>
          <c:tx>
            <c:strRef>
              <c:f>DATINF!$B$44</c:f>
              <c:strCache>
                <c:ptCount val="1"/>
                <c:pt idx="0">
                  <c:v>Segundo ciclo de carga</c:v>
                </c:pt>
              </c:strCache>
            </c:strRef>
          </c:tx>
          <c:spPr>
            <a:ln w="12700">
              <a:solidFill>
                <a:srgbClr val="FF0000"/>
              </a:solidFill>
              <a:prstDash val="solid"/>
            </a:ln>
          </c:spPr>
          <c:marker>
            <c:symbol val="triangle"/>
            <c:size val="5"/>
            <c:spPr>
              <a:solidFill>
                <a:srgbClr val="FF0000"/>
              </a:solidFill>
              <a:ln>
                <a:solidFill>
                  <a:srgbClr val="FF0000"/>
                </a:solidFill>
                <a:prstDash val="solid"/>
              </a:ln>
            </c:spPr>
          </c:marker>
          <c:xVal>
            <c:numRef>
              <c:f>DATINF!$A$44:$A$50</c:f>
              <c:numCache>
                <c:formatCode>General</c:formatCode>
                <c:ptCount val="7"/>
                <c:pt idx="0" formatCode="0.00">
                  <c:v>0</c:v>
                </c:pt>
                <c:pt idx="1">
                  <c:v>3.5999999999999997E-2</c:v>
                </c:pt>
                <c:pt idx="2">
                  <c:v>7.4999999999999997E-2</c:v>
                </c:pt>
                <c:pt idx="3">
                  <c:v>0.107</c:v>
                </c:pt>
                <c:pt idx="4">
                  <c:v>0.14299999999999999</c:v>
                </c:pt>
                <c:pt idx="5">
                  <c:v>0.17499999999999999</c:v>
                </c:pt>
                <c:pt idx="6">
                  <c:v>0.214</c:v>
                </c:pt>
              </c:numCache>
            </c:numRef>
          </c:xVal>
          <c:yVal>
            <c:numRef>
              <c:f>DATINF!$E$44:$E$50</c:f>
              <c:numCache>
                <c:formatCode>0.00</c:formatCode>
                <c:ptCount val="7"/>
                <c:pt idx="0">
                  <c:v>1.6233333333333331</c:v>
                </c:pt>
                <c:pt idx="1">
                  <c:v>1.7299999999999998</c:v>
                </c:pt>
                <c:pt idx="2">
                  <c:v>1.86</c:v>
                </c:pt>
                <c:pt idx="3">
                  <c:v>1.97</c:v>
                </c:pt>
                <c:pt idx="4">
                  <c:v>2.0333333333333332</c:v>
                </c:pt>
                <c:pt idx="5">
                  <c:v>2.15</c:v>
                </c:pt>
                <c:pt idx="6">
                  <c:v>2.2166666666666668</c:v>
                </c:pt>
              </c:numCache>
            </c:numRef>
          </c:yVal>
          <c:smooth val="0"/>
          <c:extLst>
            <c:ext xmlns:c16="http://schemas.microsoft.com/office/drawing/2014/chart" uri="{C3380CC4-5D6E-409C-BE32-E72D297353CC}">
              <c16:uniqueId val="{00000004-8A73-2F43-9E82-0C9060CD5962}"/>
            </c:ext>
          </c:extLst>
        </c:ser>
        <c:dLbls>
          <c:showLegendKey val="0"/>
          <c:showVal val="0"/>
          <c:showCatName val="0"/>
          <c:showSerName val="0"/>
          <c:showPercent val="0"/>
          <c:showBubbleSize val="0"/>
        </c:dLbls>
        <c:axId val="1850881167"/>
        <c:axId val="1"/>
      </c:scatterChart>
      <c:valAx>
        <c:axId val="1850881167"/>
        <c:scaling>
          <c:orientation val="minMax"/>
        </c:scaling>
        <c:delete val="0"/>
        <c:axPos val="t"/>
        <c:majorGridlines>
          <c:spPr>
            <a:ln w="3175">
              <a:solidFill>
                <a:srgbClr val="000000"/>
              </a:solidFill>
              <a:prstDash val="solid"/>
            </a:ln>
          </c:spPr>
        </c:majorGridlines>
        <c:minorGridlines>
          <c:spPr>
            <a:ln w="3175">
              <a:solidFill>
                <a:srgbClr val="C0C0C0"/>
              </a:solidFill>
              <a:prstDash val="sysDash"/>
            </a:ln>
          </c:spPr>
        </c:minorGridlines>
        <c:title>
          <c:tx>
            <c:rich>
              <a:bodyPr/>
              <a:lstStyle/>
              <a:p>
                <a:pPr>
                  <a:defRPr sz="800" b="1" i="0" u="none" strike="noStrike" baseline="0">
                    <a:solidFill>
                      <a:srgbClr val="000000"/>
                    </a:solidFill>
                    <a:latin typeface="Arial"/>
                    <a:ea typeface="Arial"/>
                    <a:cs typeface="Arial"/>
                  </a:defRPr>
                </a:pPr>
                <a:r>
                  <a:rPr lang="es-ES_tradnl"/>
                  <a:t>Presión MPa</a:t>
                </a:r>
              </a:p>
            </c:rich>
          </c:tx>
          <c:layout>
            <c:manualLayout>
              <c:xMode val="edge"/>
              <c:yMode val="edge"/>
              <c:x val="0.44609696904325313"/>
              <c:y val="1.6447368421052631E-2"/>
            </c:manualLayout>
          </c:layout>
          <c:overlay val="0"/>
          <c:spPr>
            <a:noFill/>
            <a:ln w="25400">
              <a:noFill/>
            </a:ln>
          </c:spPr>
        </c:title>
        <c:numFmt formatCode="0.00" sourceLinked="1"/>
        <c:majorTickMark val="cross"/>
        <c:minorTickMark val="cross"/>
        <c:tickLblPos val="nextTo"/>
        <c:spPr>
          <a:ln w="3175">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es-ES"/>
          </a:p>
        </c:txPr>
        <c:crossAx val="1"/>
        <c:crosses val="autoZero"/>
        <c:crossBetween val="midCat"/>
      </c:valAx>
      <c:valAx>
        <c:axId val="1"/>
        <c:scaling>
          <c:orientation val="maxMin"/>
        </c:scaling>
        <c:delete val="0"/>
        <c:axPos val="l"/>
        <c:majorGridlines>
          <c:spPr>
            <a:ln w="12700">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ES_tradnl"/>
                  <a:t>Asientos mm</a:t>
                </a:r>
              </a:p>
            </c:rich>
          </c:tx>
          <c:layout>
            <c:manualLayout>
              <c:xMode val="edge"/>
              <c:yMode val="edge"/>
              <c:x val="1.3011181821450401E-2"/>
              <c:y val="0.35526384859787258"/>
            </c:manualLayout>
          </c:layout>
          <c:overlay val="0"/>
          <c:spPr>
            <a:noFill/>
            <a:ln w="25400">
              <a:noFill/>
            </a:ln>
          </c:spPr>
        </c:title>
        <c:numFmt formatCode="0.00" sourceLinked="1"/>
        <c:majorTickMark val="cross"/>
        <c:minorTickMark val="cross"/>
        <c:tickLblPos val="nextTo"/>
        <c:spPr>
          <a:ln w="3175">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es-ES"/>
          </a:p>
        </c:txPr>
        <c:crossAx val="1850881167"/>
        <c:crosses val="autoZero"/>
        <c:crossBetween val="midCat"/>
        <c:minorUnit val="0.2"/>
      </c:valAx>
      <c:spPr>
        <a:noFill/>
        <a:ln w="12700">
          <a:solidFill>
            <a:srgbClr val="000000"/>
          </a:solidFill>
          <a:prstDash val="solid"/>
        </a:ln>
      </c:spPr>
    </c:plotArea>
    <c:legend>
      <c:legendPos val="r"/>
      <c:layout>
        <c:manualLayout>
          <c:xMode val="edge"/>
          <c:yMode val="edge"/>
          <c:x val="0.15308619204213131"/>
          <c:y val="0.89658150335240816"/>
          <c:w val="0.68988193037168266"/>
          <c:h val="7.7588783943958392E-2"/>
        </c:manualLayout>
      </c:layout>
      <c:overlay val="0"/>
      <c:spPr>
        <a:solidFill>
          <a:srgbClr val="FFFFFF"/>
        </a:solidFill>
        <a:ln w="3175">
          <a:solidFill>
            <a:srgbClr val="000000"/>
          </a:solidFill>
          <a:prstDash val="solid"/>
        </a:ln>
      </c:spPr>
      <c:txPr>
        <a:bodyPr/>
        <a:lstStyle/>
        <a:p>
          <a:pPr>
            <a:defRPr sz="7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12700">
      <a:solidFill>
        <a:srgbClr val="FFFFFF"/>
      </a:solidFill>
      <a:prstDash val="solid"/>
    </a:ln>
  </c:spPr>
  <c:txPr>
    <a:bodyPr/>
    <a:lstStyle/>
    <a:p>
      <a:pPr>
        <a:defRPr sz="10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horizontalDpi="300"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94970077199816E-2"/>
          <c:y val="0.12693498452012383"/>
          <c:w val="0.8519114904019226"/>
          <c:h val="0.71826625386996901"/>
        </c:manualLayout>
      </c:layout>
      <c:scatterChart>
        <c:scatterStyle val="lineMarker"/>
        <c:varyColors val="0"/>
        <c:ser>
          <c:idx val="0"/>
          <c:order val="0"/>
          <c:tx>
            <c:strRef>
              <c:f>DATINF!$A$31</c:f>
              <c:strCache>
                <c:ptCount val="1"/>
                <c:pt idx="0">
                  <c:v>Primer ciclo de carga</c:v>
                </c:pt>
              </c:strCache>
            </c:strRef>
          </c:tx>
          <c:spPr>
            <a:ln w="12700">
              <a:solidFill>
                <a:srgbClr val="3366FF"/>
              </a:solidFill>
              <a:prstDash val="solid"/>
            </a:ln>
          </c:spPr>
          <c:marker>
            <c:symbol val="diamond"/>
            <c:size val="5"/>
            <c:spPr>
              <a:solidFill>
                <a:srgbClr val="000080"/>
              </a:solidFill>
              <a:ln>
                <a:solidFill>
                  <a:srgbClr val="000080"/>
                </a:solidFill>
                <a:prstDash val="solid"/>
              </a:ln>
            </c:spPr>
          </c:marker>
          <c:dPt>
            <c:idx val="4"/>
            <c:marker>
              <c:spPr>
                <a:solidFill>
                  <a:srgbClr val="3366FF"/>
                </a:solidFill>
                <a:ln>
                  <a:solidFill>
                    <a:srgbClr val="3366FF"/>
                  </a:solidFill>
                  <a:prstDash val="solid"/>
                </a:ln>
              </c:spPr>
            </c:marker>
            <c:bubble3D val="0"/>
            <c:extLst>
              <c:ext xmlns:c16="http://schemas.microsoft.com/office/drawing/2014/chart" uri="{C3380CC4-5D6E-409C-BE32-E72D297353CC}">
                <c16:uniqueId val="{00000001-B086-8F47-9B27-BE2DABAEC0B8}"/>
              </c:ext>
            </c:extLst>
          </c:dPt>
          <c:xVal>
            <c:numRef>
              <c:f>DATINF!$A$32:$A$39</c:f>
              <c:numCache>
                <c:formatCode>General</c:formatCode>
                <c:ptCount val="8"/>
                <c:pt idx="0" formatCode="0.00">
                  <c:v>0</c:v>
                </c:pt>
                <c:pt idx="1">
                  <c:v>3.5999999999999997E-2</c:v>
                </c:pt>
                <c:pt idx="2">
                  <c:v>7.4999999999999997E-2</c:v>
                </c:pt>
                <c:pt idx="3">
                  <c:v>0.107</c:v>
                </c:pt>
                <c:pt idx="4">
                  <c:v>0.14299999999999999</c:v>
                </c:pt>
                <c:pt idx="5">
                  <c:v>0.17499999999999999</c:v>
                </c:pt>
                <c:pt idx="6">
                  <c:v>0.214</c:v>
                </c:pt>
                <c:pt idx="7" formatCode="0.00">
                  <c:v>0.25</c:v>
                </c:pt>
              </c:numCache>
            </c:numRef>
          </c:xVal>
          <c:yVal>
            <c:numRef>
              <c:f>DATINF!$E$32:$E$39</c:f>
              <c:numCache>
                <c:formatCode>0.00</c:formatCode>
                <c:ptCount val="8"/>
                <c:pt idx="0">
                  <c:v>0</c:v>
                </c:pt>
                <c:pt idx="1">
                  <c:v>0.21666666666666665</c:v>
                </c:pt>
                <c:pt idx="2">
                  <c:v>0.75</c:v>
                </c:pt>
                <c:pt idx="3">
                  <c:v>1.0566666666666666</c:v>
                </c:pt>
                <c:pt idx="4">
                  <c:v>1.36</c:v>
                </c:pt>
                <c:pt idx="5">
                  <c:v>1.6066666666666667</c:v>
                </c:pt>
                <c:pt idx="6">
                  <c:v>1.9433333333333334</c:v>
                </c:pt>
                <c:pt idx="7">
                  <c:v>2.2400000000000002</c:v>
                </c:pt>
              </c:numCache>
            </c:numRef>
          </c:yVal>
          <c:smooth val="0"/>
          <c:extLst>
            <c:ext xmlns:c16="http://schemas.microsoft.com/office/drawing/2014/chart" uri="{C3380CC4-5D6E-409C-BE32-E72D297353CC}">
              <c16:uniqueId val="{00000002-B086-8F47-9B27-BE2DABAEC0B8}"/>
            </c:ext>
          </c:extLst>
        </c:ser>
        <c:ser>
          <c:idx val="1"/>
          <c:order val="1"/>
          <c:tx>
            <c:v>Descarga</c:v>
          </c:tx>
          <c:spPr>
            <a:ln w="12700">
              <a:solidFill>
                <a:srgbClr val="339933"/>
              </a:solidFill>
              <a:prstDash val="solid"/>
            </a:ln>
          </c:spPr>
          <c:marker>
            <c:symbol val="square"/>
            <c:size val="5"/>
            <c:spPr>
              <a:solidFill>
                <a:srgbClr val="339933"/>
              </a:solidFill>
              <a:ln>
                <a:solidFill>
                  <a:srgbClr val="339933"/>
                </a:solidFill>
                <a:prstDash val="solid"/>
              </a:ln>
            </c:spPr>
          </c:marker>
          <c:xVal>
            <c:numRef>
              <c:f>DATINF!$A$40:$A$43</c:f>
              <c:numCache>
                <c:formatCode>General</c:formatCode>
                <c:ptCount val="4"/>
                <c:pt idx="0" formatCode="0.00">
                  <c:v>0.25</c:v>
                </c:pt>
                <c:pt idx="1">
                  <c:v>0.125</c:v>
                </c:pt>
                <c:pt idx="2">
                  <c:v>6.25E-2</c:v>
                </c:pt>
                <c:pt idx="3" formatCode="0.00">
                  <c:v>0</c:v>
                </c:pt>
              </c:numCache>
            </c:numRef>
          </c:xVal>
          <c:yVal>
            <c:numRef>
              <c:f>DATINF!$E$40:$E$43</c:f>
              <c:numCache>
                <c:formatCode>0.00</c:formatCode>
                <c:ptCount val="4"/>
                <c:pt idx="0">
                  <c:v>2.2400000000000002</c:v>
                </c:pt>
                <c:pt idx="1">
                  <c:v>2.1133333333333333</c:v>
                </c:pt>
                <c:pt idx="2">
                  <c:v>1.9366666666666668</c:v>
                </c:pt>
                <c:pt idx="3">
                  <c:v>1.6233333333333331</c:v>
                </c:pt>
              </c:numCache>
            </c:numRef>
          </c:yVal>
          <c:smooth val="0"/>
          <c:extLst>
            <c:ext xmlns:c16="http://schemas.microsoft.com/office/drawing/2014/chart" uri="{C3380CC4-5D6E-409C-BE32-E72D297353CC}">
              <c16:uniqueId val="{00000003-B086-8F47-9B27-BE2DABAEC0B8}"/>
            </c:ext>
          </c:extLst>
        </c:ser>
        <c:ser>
          <c:idx val="2"/>
          <c:order val="2"/>
          <c:tx>
            <c:strRef>
              <c:f>DATINF!$B$44</c:f>
              <c:strCache>
                <c:ptCount val="1"/>
                <c:pt idx="0">
                  <c:v>Segundo ciclo de carga</c:v>
                </c:pt>
              </c:strCache>
            </c:strRef>
          </c:tx>
          <c:spPr>
            <a:ln w="12700">
              <a:solidFill>
                <a:srgbClr val="FF0000"/>
              </a:solidFill>
              <a:prstDash val="solid"/>
            </a:ln>
          </c:spPr>
          <c:marker>
            <c:symbol val="triangle"/>
            <c:size val="5"/>
            <c:spPr>
              <a:solidFill>
                <a:srgbClr val="FF0000"/>
              </a:solidFill>
              <a:ln>
                <a:solidFill>
                  <a:srgbClr val="FF0000"/>
                </a:solidFill>
                <a:prstDash val="solid"/>
              </a:ln>
            </c:spPr>
          </c:marker>
          <c:xVal>
            <c:numRef>
              <c:f>DATINF!$A$44:$A$50</c:f>
              <c:numCache>
                <c:formatCode>General</c:formatCode>
                <c:ptCount val="7"/>
                <c:pt idx="0" formatCode="0.00">
                  <c:v>0</c:v>
                </c:pt>
                <c:pt idx="1">
                  <c:v>3.5999999999999997E-2</c:v>
                </c:pt>
                <c:pt idx="2">
                  <c:v>7.4999999999999997E-2</c:v>
                </c:pt>
                <c:pt idx="3">
                  <c:v>0.107</c:v>
                </c:pt>
                <c:pt idx="4">
                  <c:v>0.14299999999999999</c:v>
                </c:pt>
                <c:pt idx="5">
                  <c:v>0.17499999999999999</c:v>
                </c:pt>
                <c:pt idx="6">
                  <c:v>0.214</c:v>
                </c:pt>
              </c:numCache>
            </c:numRef>
          </c:xVal>
          <c:yVal>
            <c:numRef>
              <c:f>DATINF!$E$44:$E$50</c:f>
              <c:numCache>
                <c:formatCode>0.00</c:formatCode>
                <c:ptCount val="7"/>
                <c:pt idx="0">
                  <c:v>1.6233333333333331</c:v>
                </c:pt>
                <c:pt idx="1">
                  <c:v>1.7299999999999998</c:v>
                </c:pt>
                <c:pt idx="2">
                  <c:v>1.86</c:v>
                </c:pt>
                <c:pt idx="3">
                  <c:v>1.97</c:v>
                </c:pt>
                <c:pt idx="4">
                  <c:v>2.0333333333333332</c:v>
                </c:pt>
                <c:pt idx="5">
                  <c:v>2.15</c:v>
                </c:pt>
                <c:pt idx="6">
                  <c:v>2.2166666666666668</c:v>
                </c:pt>
              </c:numCache>
            </c:numRef>
          </c:yVal>
          <c:smooth val="0"/>
          <c:extLst>
            <c:ext xmlns:c16="http://schemas.microsoft.com/office/drawing/2014/chart" uri="{C3380CC4-5D6E-409C-BE32-E72D297353CC}">
              <c16:uniqueId val="{00000004-B086-8F47-9B27-BE2DABAEC0B8}"/>
            </c:ext>
          </c:extLst>
        </c:ser>
        <c:dLbls>
          <c:showLegendKey val="0"/>
          <c:showVal val="0"/>
          <c:showCatName val="0"/>
          <c:showSerName val="0"/>
          <c:showPercent val="0"/>
          <c:showBubbleSize val="0"/>
        </c:dLbls>
        <c:axId val="1851247551"/>
        <c:axId val="1"/>
      </c:scatterChart>
      <c:valAx>
        <c:axId val="1851247551"/>
        <c:scaling>
          <c:orientation val="minMax"/>
        </c:scaling>
        <c:delete val="0"/>
        <c:axPos val="t"/>
        <c:majorGridlines>
          <c:spPr>
            <a:ln w="3175">
              <a:solidFill>
                <a:srgbClr val="000000"/>
              </a:solidFill>
              <a:prstDash val="solid"/>
            </a:ln>
          </c:spPr>
        </c:majorGridlines>
        <c:minorGridlines>
          <c:spPr>
            <a:ln w="3175">
              <a:solidFill>
                <a:srgbClr val="C0C0C0"/>
              </a:solidFill>
              <a:prstDash val="sysDash"/>
            </a:ln>
          </c:spPr>
        </c:minorGridlines>
        <c:title>
          <c:tx>
            <c:rich>
              <a:bodyPr/>
              <a:lstStyle/>
              <a:p>
                <a:pPr>
                  <a:defRPr sz="800" b="1" i="0" u="none" strike="noStrike" baseline="0">
                    <a:solidFill>
                      <a:srgbClr val="000000"/>
                    </a:solidFill>
                    <a:latin typeface="Arial"/>
                    <a:ea typeface="Arial"/>
                    <a:cs typeface="Arial"/>
                  </a:defRPr>
                </a:pPr>
                <a:r>
                  <a:rPr lang="es-ES_tradnl"/>
                  <a:t>Presión MPa</a:t>
                </a:r>
              </a:p>
            </c:rich>
          </c:tx>
          <c:layout>
            <c:manualLayout>
              <c:xMode val="edge"/>
              <c:yMode val="edge"/>
              <c:x val="0.44904486615024014"/>
              <c:y val="1.5480228905813003E-2"/>
            </c:manualLayout>
          </c:layout>
          <c:overlay val="0"/>
          <c:spPr>
            <a:noFill/>
            <a:ln w="25400">
              <a:noFill/>
            </a:ln>
          </c:spPr>
        </c:title>
        <c:numFmt formatCode="0.00" sourceLinked="1"/>
        <c:majorTickMark val="cross"/>
        <c:minorTickMark val="cross"/>
        <c:tickLblPos val="nextTo"/>
        <c:spPr>
          <a:ln w="3175">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es-ES"/>
          </a:p>
        </c:txPr>
        <c:crossAx val="1"/>
        <c:crosses val="autoZero"/>
        <c:crossBetween val="midCat"/>
      </c:valAx>
      <c:valAx>
        <c:axId val="1"/>
        <c:scaling>
          <c:orientation val="maxMin"/>
        </c:scaling>
        <c:delete val="0"/>
        <c:axPos val="l"/>
        <c:majorGridlines>
          <c:spPr>
            <a:ln w="12700">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ES_tradnl"/>
                  <a:t>Asientos mm</a:t>
                </a:r>
              </a:p>
            </c:rich>
          </c:tx>
          <c:layout>
            <c:manualLayout>
              <c:xMode val="edge"/>
              <c:yMode val="edge"/>
              <c:x val="1.1146475410184747E-2"/>
              <c:y val="0.3653247278516415"/>
            </c:manualLayout>
          </c:layout>
          <c:overlay val="0"/>
          <c:spPr>
            <a:noFill/>
            <a:ln w="25400">
              <a:noFill/>
            </a:ln>
          </c:spPr>
        </c:title>
        <c:numFmt formatCode="0.00" sourceLinked="1"/>
        <c:majorTickMark val="cross"/>
        <c:minorTickMark val="cross"/>
        <c:tickLblPos val="nextTo"/>
        <c:spPr>
          <a:ln w="3175">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es-ES"/>
          </a:p>
        </c:txPr>
        <c:crossAx val="1851247551"/>
        <c:crosses val="autoZero"/>
        <c:crossBetween val="midCat"/>
        <c:minorUnit val="0.2"/>
      </c:valAx>
      <c:spPr>
        <a:noFill/>
        <a:ln w="12700">
          <a:solidFill>
            <a:srgbClr val="000000"/>
          </a:solidFill>
          <a:prstDash val="solid"/>
        </a:ln>
      </c:spPr>
    </c:plotArea>
    <c:legend>
      <c:legendPos val="r"/>
      <c:layout>
        <c:manualLayout>
          <c:xMode val="edge"/>
          <c:yMode val="edge"/>
          <c:x val="0.19282269762296361"/>
          <c:y val="0.90561035736519779"/>
          <c:w val="0.59359144170206446"/>
          <c:h val="7.2963867655015932E-2"/>
        </c:manualLayout>
      </c:layout>
      <c:overlay val="0"/>
      <c:spPr>
        <a:solidFill>
          <a:srgbClr val="FFFFFF"/>
        </a:solidFill>
        <a:ln w="3175">
          <a:solidFill>
            <a:srgbClr val="000000"/>
          </a:solidFill>
          <a:prstDash val="solid"/>
        </a:ln>
      </c:spPr>
      <c:txPr>
        <a:bodyPr/>
        <a:lstStyle/>
        <a:p>
          <a:pPr>
            <a:defRPr sz="7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12700">
      <a:solidFill>
        <a:srgbClr val="FFFFFF"/>
      </a:solidFill>
      <a:prstDash val="solid"/>
    </a:ln>
  </c:spPr>
  <c:txPr>
    <a:bodyPr/>
    <a:lstStyle/>
    <a:p>
      <a:pPr>
        <a:defRPr sz="10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c:printSettings>
</c:chartSpac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52</xdr:row>
      <xdr:rowOff>25400</xdr:rowOff>
    </xdr:from>
    <xdr:to>
      <xdr:col>6</xdr:col>
      <xdr:colOff>635000</xdr:colOff>
      <xdr:row>70</xdr:row>
      <xdr:rowOff>0</xdr:rowOff>
    </xdr:to>
    <xdr:graphicFrame macro="">
      <xdr:nvGraphicFramePr>
        <xdr:cNvPr id="2074" name="Chart 1">
          <a:extLst>
            <a:ext uri="{FF2B5EF4-FFF2-40B4-BE49-F238E27FC236}">
              <a16:creationId xmlns:a16="http://schemas.microsoft.com/office/drawing/2014/main" id="{2F27FBA2-9FC3-894E-BB36-1889EDAFF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5</xdr:col>
          <xdr:colOff>139700</xdr:colOff>
          <xdr:row>0</xdr:row>
          <xdr:rowOff>114300</xdr:rowOff>
        </xdr:from>
        <xdr:to>
          <xdr:col>6</xdr:col>
          <xdr:colOff>355600</xdr:colOff>
          <xdr:row>2</xdr:row>
          <xdr:rowOff>0</xdr:rowOff>
        </xdr:to>
        <xdr:sp macro="" textlink="">
          <xdr:nvSpPr>
            <xdr:cNvPr id="2052" name="Button 4" hidden="1">
              <a:extLst>
                <a:ext uri="{63B3BB69-23CF-44E3-9099-C40C66FF867C}">
                  <a14:compatExt spid="_x0000_s2052"/>
                </a:ext>
                <a:ext uri="{FF2B5EF4-FFF2-40B4-BE49-F238E27FC236}">
                  <a16:creationId xmlns:a16="http://schemas.microsoft.com/office/drawing/2014/main" id="{46F817DD-1F46-199C-ACBF-F1852AB7B1BA}"/>
                </a:ext>
              </a:extLst>
            </xdr:cNvPr>
            <xdr:cNvSpPr/>
          </xdr:nvSpPr>
          <xdr:spPr bwMode="auto">
            <a:xfrm>
              <a:off x="0" y="0"/>
              <a:ext cx="0" cy="0"/>
            </a:xfrm>
            <a:prstGeom prst="rect">
              <a:avLst/>
            </a:prstGeom>
            <a:noFill/>
            <a:ln w="9525">
              <a:miter lim="800000"/>
              <a:headEnd/>
              <a:tailEnd/>
            </a:ln>
            <a:effectLst/>
            <a:extLst>
              <a:ext uri="{AF507438-7753-43E0-B8FC-AC1667EBCBE1}">
                <a14:hiddenEffects>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s-ES_tradnl" sz="1000" b="0" i="0" u="none" strike="noStrike" baseline="0">
                  <a:solidFill>
                    <a:srgbClr val="000000"/>
                  </a:solidFill>
                  <a:latin typeface="Arial" charset="0"/>
                  <a:cs typeface="Arial" charset="0"/>
                </a:rPr>
                <a:t>Ver Informe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457200</xdr:colOff>
          <xdr:row>0</xdr:row>
          <xdr:rowOff>114300</xdr:rowOff>
        </xdr:from>
        <xdr:to>
          <xdr:col>8</xdr:col>
          <xdr:colOff>0</xdr:colOff>
          <xdr:row>2</xdr:row>
          <xdr:rowOff>0</xdr:rowOff>
        </xdr:to>
        <xdr:sp macro="" textlink="">
          <xdr:nvSpPr>
            <xdr:cNvPr id="2053" name="Button 5" hidden="1">
              <a:extLst>
                <a:ext uri="{63B3BB69-23CF-44E3-9099-C40C66FF867C}">
                  <a14:compatExt spid="_x0000_s2053"/>
                </a:ext>
                <a:ext uri="{FF2B5EF4-FFF2-40B4-BE49-F238E27FC236}">
                  <a16:creationId xmlns:a16="http://schemas.microsoft.com/office/drawing/2014/main" id="{D28B9184-2445-C0B2-A318-E358405FE57A}"/>
                </a:ext>
              </a:extLst>
            </xdr:cNvPr>
            <xdr:cNvSpPr/>
          </xdr:nvSpPr>
          <xdr:spPr bwMode="auto">
            <a:xfrm>
              <a:off x="0" y="0"/>
              <a:ext cx="0" cy="0"/>
            </a:xfrm>
            <a:prstGeom prst="rect">
              <a:avLst/>
            </a:prstGeom>
            <a:noFill/>
            <a:ln w="9525">
              <a:miter lim="800000"/>
              <a:headEnd/>
              <a:tailEnd/>
            </a:ln>
            <a:effectLst/>
            <a:extLst>
              <a:ext uri="{AF507438-7753-43E0-B8FC-AC1667EBCBE1}">
                <a14:hiddenEffects>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s-ES_tradnl" sz="1000" b="0" i="0" u="none" strike="noStrike" baseline="0">
                  <a:solidFill>
                    <a:srgbClr val="000000"/>
                  </a:solidFill>
                  <a:latin typeface="Arial" charset="0"/>
                  <a:cs typeface="Arial" charset="0"/>
                </a:rPr>
                <a:t>Guardar y Salir</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215900</xdr:colOff>
      <xdr:row>47</xdr:row>
      <xdr:rowOff>0</xdr:rowOff>
    </xdr:from>
    <xdr:to>
      <xdr:col>3</xdr:col>
      <xdr:colOff>609600</xdr:colOff>
      <xdr:row>47</xdr:row>
      <xdr:rowOff>104775</xdr:rowOff>
    </xdr:to>
    <xdr:sp macro="" textlink="">
      <xdr:nvSpPr>
        <xdr:cNvPr id="1032" name="Texto 8">
          <a:extLst>
            <a:ext uri="{FF2B5EF4-FFF2-40B4-BE49-F238E27FC236}">
              <a16:creationId xmlns:a16="http://schemas.microsoft.com/office/drawing/2014/main" id="{4B787966-96D0-01F5-18AF-6E50FBA8F1AF}"/>
            </a:ext>
          </a:extLst>
        </xdr:cNvPr>
        <xdr:cNvSpPr txBox="1">
          <a:spLocks noChangeArrowheads="1"/>
        </xdr:cNvSpPr>
      </xdr:nvSpPr>
      <xdr:spPr bwMode="auto">
        <a:xfrm>
          <a:off x="2590800" y="8010525"/>
          <a:ext cx="342900" cy="104775"/>
        </a:xfrm>
        <a:prstGeom prst="rect">
          <a:avLst/>
        </a:prstGeom>
        <a:solidFill>
          <a:srgbClr val="FFFFFF"/>
        </a:solidFill>
        <a:ln w="9525">
          <a:solidFill>
            <a:srgbClr val="000000"/>
          </a:solidFill>
          <a:miter lim="800000"/>
          <a:headEnd/>
          <a:tailEnd/>
        </a:ln>
      </xdr:spPr>
      <xdr:txBody>
        <a:bodyPr vertOverflow="clip" wrap="square" lIns="18288" tIns="18288" rIns="18288" bIns="0" anchor="t" upright="1"/>
        <a:lstStyle/>
        <a:p>
          <a:pPr algn="ctr" rtl="0">
            <a:lnSpc>
              <a:spcPts val="400"/>
            </a:lnSpc>
            <a:defRPr sz="1000"/>
          </a:pPr>
          <a:r>
            <a:rPr lang="es-ES" sz="500" b="0" i="0" strike="noStrike">
              <a:solidFill>
                <a:srgbClr val="000000"/>
              </a:solidFill>
              <a:latin typeface="Arial"/>
              <a:cs typeface="Arial"/>
            </a:rPr>
            <a:t>Descarga</a:t>
          </a:r>
        </a:p>
        <a:p>
          <a:pPr algn="ctr" rtl="0">
            <a:defRPr sz="1000"/>
          </a:pPr>
          <a:r>
            <a:rPr lang="es-ES" sz="500" b="0" i="0" strike="noStrike">
              <a:solidFill>
                <a:srgbClr val="000000"/>
              </a:solidFill>
              <a:latin typeface="Arial"/>
              <a:cs typeface="Arial"/>
            </a:rPr>
            <a:t>1ª Carga</a:t>
          </a:r>
        </a:p>
      </xdr:txBody>
    </xdr:sp>
    <xdr:clientData/>
  </xdr:twoCellAnchor>
  <xdr:twoCellAnchor>
    <xdr:from>
      <xdr:col>0</xdr:col>
      <xdr:colOff>0</xdr:colOff>
      <xdr:row>34</xdr:row>
      <xdr:rowOff>25400</xdr:rowOff>
    </xdr:from>
    <xdr:to>
      <xdr:col>6</xdr:col>
      <xdr:colOff>1054100</xdr:colOff>
      <xdr:row>52</xdr:row>
      <xdr:rowOff>12700</xdr:rowOff>
    </xdr:to>
    <xdr:graphicFrame macro="">
      <xdr:nvGraphicFramePr>
        <xdr:cNvPr id="1087" name="Chart 21">
          <a:extLst>
            <a:ext uri="{FF2B5EF4-FFF2-40B4-BE49-F238E27FC236}">
              <a16:creationId xmlns:a16="http://schemas.microsoft.com/office/drawing/2014/main" id="{9A245FB5-1CF8-AA38-07A0-392B1E46D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5ED0-39AB-5148-A018-18171A0E64EB}">
  <sheetPr codeName="Hoja1"/>
  <dimension ref="A1:I51"/>
  <sheetViews>
    <sheetView showGridLines="0" topLeftCell="A10" workbookViewId="0">
      <selection activeCell="H56" sqref="H56"/>
    </sheetView>
  </sheetViews>
  <sheetFormatPr baseColWidth="10" defaultColWidth="11.5" defaultRowHeight="13" x14ac:dyDescent="0.15"/>
  <cols>
    <col min="1" max="2" width="11.5" style="66"/>
    <col min="3" max="3" width="18" style="66" bestFit="1" customWidth="1"/>
    <col min="4" max="8" width="11.5" style="66"/>
    <col min="9" max="9" width="12.33203125" style="66" bestFit="1" customWidth="1"/>
    <col min="10" max="16384" width="11.5" style="66"/>
  </cols>
  <sheetData>
    <row r="1" spans="1:9" x14ac:dyDescent="0.15">
      <c r="A1" s="119" t="s">
        <v>9</v>
      </c>
      <c r="B1" s="119"/>
      <c r="C1" s="114" t="s">
        <v>42</v>
      </c>
      <c r="D1" s="65"/>
      <c r="E1" s="65"/>
      <c r="F1" s="65"/>
      <c r="G1" s="65"/>
      <c r="H1" s="65"/>
    </row>
    <row r="2" spans="1:9" x14ac:dyDescent="0.15">
      <c r="A2" s="119" t="s">
        <v>10</v>
      </c>
      <c r="B2" s="119"/>
      <c r="C2" s="115" t="s">
        <v>51</v>
      </c>
      <c r="D2" s="65"/>
      <c r="E2" s="65"/>
      <c r="F2" s="65"/>
      <c r="G2" s="65"/>
      <c r="H2" s="65"/>
    </row>
    <row r="3" spans="1:9" x14ac:dyDescent="0.15">
      <c r="A3" s="119" t="s">
        <v>29</v>
      </c>
      <c r="B3" s="119"/>
      <c r="C3" s="97"/>
      <c r="D3" s="65"/>
      <c r="E3" s="65"/>
      <c r="F3" s="65"/>
      <c r="G3" s="65"/>
      <c r="H3" s="65"/>
    </row>
    <row r="4" spans="1:9" x14ac:dyDescent="0.15">
      <c r="A4" s="63"/>
      <c r="B4" s="63" t="s">
        <v>31</v>
      </c>
      <c r="C4" s="114" t="s">
        <v>43</v>
      </c>
      <c r="D4" s="65"/>
      <c r="E4" s="65"/>
      <c r="F4" s="65"/>
      <c r="G4" s="65"/>
      <c r="H4" s="65"/>
    </row>
    <row r="5" spans="1:9" x14ac:dyDescent="0.15">
      <c r="A5" s="120" t="s">
        <v>11</v>
      </c>
      <c r="B5" s="120"/>
      <c r="C5" s="114" t="s">
        <v>44</v>
      </c>
      <c r="D5" s="65"/>
      <c r="E5" s="65"/>
      <c r="F5" s="65"/>
      <c r="G5" s="65"/>
      <c r="H5" s="65"/>
    </row>
    <row r="6" spans="1:9" x14ac:dyDescent="0.15">
      <c r="A6" s="119" t="s">
        <v>12</v>
      </c>
      <c r="B6" s="119"/>
      <c r="C6" s="114" t="s">
        <v>45</v>
      </c>
      <c r="D6" s="65"/>
      <c r="E6" s="65"/>
      <c r="F6" s="65"/>
      <c r="G6" s="65"/>
      <c r="H6" s="65"/>
    </row>
    <row r="7" spans="1:9" x14ac:dyDescent="0.15">
      <c r="A7" s="119" t="s">
        <v>33</v>
      </c>
      <c r="B7" s="119"/>
      <c r="C7" s="114" t="s">
        <v>46</v>
      </c>
      <c r="D7" s="65"/>
      <c r="E7" s="65"/>
      <c r="F7" s="65"/>
      <c r="G7" s="65"/>
      <c r="H7" s="65"/>
    </row>
    <row r="8" spans="1:9" x14ac:dyDescent="0.15">
      <c r="A8" s="119" t="s">
        <v>13</v>
      </c>
      <c r="B8" s="119"/>
      <c r="C8" s="116" t="s">
        <v>47</v>
      </c>
      <c r="D8" s="67" t="str">
        <f>SUBSTITUTE(C8,"/","_")</f>
        <v>26_1503</v>
      </c>
      <c r="E8" s="65"/>
      <c r="F8" s="65"/>
      <c r="G8" s="65"/>
      <c r="H8" s="65"/>
    </row>
    <row r="9" spans="1:9" x14ac:dyDescent="0.15">
      <c r="A9" s="130" t="s">
        <v>14</v>
      </c>
      <c r="B9" s="130"/>
      <c r="C9" s="117" t="s">
        <v>48</v>
      </c>
      <c r="D9" s="68"/>
      <c r="E9" s="68"/>
      <c r="F9" s="68"/>
      <c r="G9" s="68"/>
      <c r="H9" s="68"/>
    </row>
    <row r="10" spans="1:9" x14ac:dyDescent="0.15">
      <c r="A10" s="119" t="s">
        <v>15</v>
      </c>
      <c r="B10" s="119"/>
      <c r="C10" s="114" t="s">
        <v>49</v>
      </c>
      <c r="D10" s="65"/>
      <c r="E10" s="65"/>
      <c r="F10" s="65"/>
      <c r="G10" s="65"/>
      <c r="H10" s="65"/>
      <c r="I10" s="99"/>
    </row>
    <row r="11" spans="1:9" x14ac:dyDescent="0.15">
      <c r="A11" s="33"/>
      <c r="B11" s="33"/>
      <c r="C11" s="98"/>
      <c r="D11" s="68"/>
      <c r="E11" s="68"/>
      <c r="F11" s="68"/>
      <c r="G11" s="68"/>
      <c r="H11" s="68"/>
    </row>
    <row r="12" spans="1:9" x14ac:dyDescent="0.15">
      <c r="A12" s="129" t="s">
        <v>16</v>
      </c>
      <c r="B12" s="119"/>
      <c r="C12" s="114" t="s">
        <v>50</v>
      </c>
      <c r="D12" s="65"/>
      <c r="E12" s="65"/>
      <c r="F12" s="65"/>
      <c r="G12" s="65"/>
      <c r="H12" s="65"/>
    </row>
    <row r="13" spans="1:9" x14ac:dyDescent="0.15">
      <c r="A13" s="33"/>
      <c r="B13" s="33"/>
      <c r="C13" s="98"/>
      <c r="D13" s="68"/>
      <c r="E13" s="68"/>
      <c r="F13" s="68"/>
      <c r="G13" s="68"/>
      <c r="H13" s="68"/>
    </row>
    <row r="14" spans="1:9" x14ac:dyDescent="0.15">
      <c r="A14" s="129" t="s">
        <v>17</v>
      </c>
      <c r="B14" s="129"/>
      <c r="C14" s="114" t="s">
        <v>50</v>
      </c>
      <c r="D14" s="65"/>
      <c r="E14" s="65"/>
      <c r="F14" s="65"/>
      <c r="G14" s="65"/>
      <c r="H14" s="65"/>
    </row>
    <row r="15" spans="1:9" x14ac:dyDescent="0.15">
      <c r="A15" s="33"/>
      <c r="B15" s="33"/>
      <c r="C15" s="98"/>
      <c r="D15" s="68"/>
      <c r="E15" s="68"/>
      <c r="F15" s="68"/>
      <c r="G15" s="68"/>
      <c r="H15" s="68"/>
    </row>
    <row r="16" spans="1:9" x14ac:dyDescent="0.15">
      <c r="A16" s="129" t="s">
        <v>18</v>
      </c>
      <c r="B16" s="129"/>
      <c r="C16" s="114" t="s">
        <v>50</v>
      </c>
      <c r="D16" s="65"/>
      <c r="E16" s="65"/>
      <c r="F16" s="65"/>
      <c r="G16" s="65"/>
      <c r="H16" s="65"/>
    </row>
    <row r="17" spans="1:8" x14ac:dyDescent="0.15">
      <c r="A17" s="33"/>
      <c r="B17" s="33"/>
      <c r="C17" s="98"/>
      <c r="D17" s="68"/>
      <c r="E17" s="68"/>
      <c r="F17" s="68"/>
      <c r="G17" s="68"/>
      <c r="H17" s="68"/>
    </row>
    <row r="18" spans="1:8" x14ac:dyDescent="0.15">
      <c r="A18" s="129" t="s">
        <v>19</v>
      </c>
      <c r="B18" s="129"/>
      <c r="C18" s="114" t="s">
        <v>50</v>
      </c>
      <c r="D18" s="65"/>
      <c r="E18" s="65"/>
      <c r="F18" s="65"/>
      <c r="G18" s="65"/>
      <c r="H18" s="65"/>
    </row>
    <row r="19" spans="1:8" x14ac:dyDescent="0.15">
      <c r="A19" s="33"/>
      <c r="B19" s="33"/>
      <c r="C19" s="98"/>
      <c r="D19" s="68"/>
      <c r="E19" s="68"/>
      <c r="F19" s="68"/>
      <c r="G19" s="68"/>
      <c r="H19" s="68"/>
    </row>
    <row r="20" spans="1:8" x14ac:dyDescent="0.15">
      <c r="A20" s="129" t="s">
        <v>23</v>
      </c>
      <c r="B20" s="129"/>
      <c r="C20" s="53" t="s">
        <v>52</v>
      </c>
      <c r="D20" s="65"/>
      <c r="E20" s="65"/>
      <c r="F20" s="65"/>
      <c r="G20" s="65"/>
      <c r="H20" s="65"/>
    </row>
    <row r="21" spans="1:8" x14ac:dyDescent="0.15">
      <c r="A21" s="119" t="s">
        <v>28</v>
      </c>
      <c r="B21" s="119"/>
      <c r="C21" s="62">
        <v>15</v>
      </c>
      <c r="D21" s="65"/>
      <c r="E21" s="65"/>
      <c r="F21" s="65"/>
      <c r="G21" s="65"/>
      <c r="H21" s="65"/>
    </row>
    <row r="22" spans="1:8" x14ac:dyDescent="0.15">
      <c r="A22" s="119" t="s">
        <v>24</v>
      </c>
      <c r="B22" s="119"/>
      <c r="C22" s="118" t="s">
        <v>48</v>
      </c>
      <c r="D22" s="65"/>
      <c r="E22" s="65"/>
      <c r="F22" s="65"/>
      <c r="G22" s="65"/>
      <c r="H22" s="65"/>
    </row>
    <row r="23" spans="1:8" x14ac:dyDescent="0.15">
      <c r="A23" s="119" t="s">
        <v>25</v>
      </c>
      <c r="B23" s="119"/>
      <c r="C23" s="53" t="s">
        <v>53</v>
      </c>
      <c r="D23" s="65"/>
      <c r="E23" s="65"/>
      <c r="F23" s="65"/>
      <c r="G23" s="65"/>
      <c r="H23" s="65"/>
    </row>
    <row r="24" spans="1:8" x14ac:dyDescent="0.15">
      <c r="B24" s="69" t="s">
        <v>26</v>
      </c>
      <c r="C24" s="62"/>
      <c r="D24" s="65"/>
      <c r="E24" s="65"/>
      <c r="F24" s="65"/>
      <c r="G24" s="65"/>
      <c r="H24" s="65"/>
    </row>
    <row r="25" spans="1:8" ht="15" x14ac:dyDescent="0.2">
      <c r="B25" s="70" t="s">
        <v>27</v>
      </c>
      <c r="C25" s="62">
        <v>60</v>
      </c>
      <c r="D25" s="65"/>
      <c r="E25" s="65"/>
      <c r="F25" s="65"/>
      <c r="G25" s="65"/>
      <c r="H25" s="65"/>
    </row>
    <row r="26" spans="1:8" x14ac:dyDescent="0.15">
      <c r="A26" s="128" t="s">
        <v>32</v>
      </c>
      <c r="B26" s="128"/>
      <c r="C26" s="62">
        <v>50</v>
      </c>
      <c r="D26" s="65"/>
      <c r="E26" s="65"/>
      <c r="F26" s="65"/>
      <c r="G26" s="65"/>
      <c r="H26" s="65"/>
    </row>
    <row r="27" spans="1:8" x14ac:dyDescent="0.15">
      <c r="B27" s="69" t="s">
        <v>20</v>
      </c>
      <c r="C27" s="53"/>
      <c r="D27" s="65"/>
      <c r="E27" s="65"/>
      <c r="F27" s="65"/>
      <c r="G27" s="65"/>
      <c r="H27" s="65"/>
    </row>
    <row r="28" spans="1:8" ht="14" thickBot="1" x14ac:dyDescent="0.2">
      <c r="B28" s="69"/>
      <c r="C28" s="71"/>
      <c r="D28" s="71"/>
      <c r="E28" s="71"/>
      <c r="F28" s="71"/>
      <c r="G28" s="71"/>
      <c r="H28" s="71"/>
    </row>
    <row r="29" spans="1:8" ht="20" customHeight="1" thickTop="1" x14ac:dyDescent="0.15">
      <c r="A29" s="123" t="s">
        <v>22</v>
      </c>
      <c r="B29" s="125" t="s">
        <v>0</v>
      </c>
      <c r="C29" s="126"/>
      <c r="D29" s="127"/>
      <c r="E29" s="121" t="s">
        <v>21</v>
      </c>
    </row>
    <row r="30" spans="1:8" ht="20" customHeight="1" x14ac:dyDescent="0.15">
      <c r="A30" s="124" t="s">
        <v>1</v>
      </c>
      <c r="B30" s="72">
        <v>1</v>
      </c>
      <c r="C30" s="72">
        <v>2</v>
      </c>
      <c r="D30" s="72">
        <v>3</v>
      </c>
      <c r="E30" s="122"/>
    </row>
    <row r="31" spans="1:8" x14ac:dyDescent="0.15">
      <c r="A31" s="131" t="s">
        <v>2</v>
      </c>
      <c r="B31" s="132"/>
      <c r="C31" s="132"/>
      <c r="D31" s="132"/>
      <c r="E31" s="133"/>
    </row>
    <row r="32" spans="1:8" x14ac:dyDescent="0.15">
      <c r="A32" s="73">
        <v>0</v>
      </c>
      <c r="B32" s="54">
        <v>0</v>
      </c>
      <c r="C32" s="54">
        <v>0</v>
      </c>
      <c r="D32" s="54">
        <v>0</v>
      </c>
      <c r="E32" s="74">
        <f>AVERAGE(B32:D32)</f>
        <v>0</v>
      </c>
    </row>
    <row r="33" spans="1:7" x14ac:dyDescent="0.15">
      <c r="A33" s="75">
        <v>3.5999999999999997E-2</v>
      </c>
      <c r="B33" s="55">
        <v>0.15</v>
      </c>
      <c r="C33" s="55">
        <v>0.2</v>
      </c>
      <c r="D33" s="55">
        <v>0.3</v>
      </c>
      <c r="E33" s="74">
        <f t="shared" ref="E33:E50" si="0">AVERAGE(B33:D33)</f>
        <v>0.21666666666666665</v>
      </c>
    </row>
    <row r="34" spans="1:7" x14ac:dyDescent="0.15">
      <c r="A34" s="75">
        <v>7.4999999999999997E-2</v>
      </c>
      <c r="B34" s="55">
        <v>0.48</v>
      </c>
      <c r="C34" s="55">
        <v>0.67</v>
      </c>
      <c r="D34" s="55">
        <v>1.1000000000000001</v>
      </c>
      <c r="E34" s="74">
        <f>ROUND(AVERAGE(B34:D34),2)</f>
        <v>0.75</v>
      </c>
    </row>
    <row r="35" spans="1:7" x14ac:dyDescent="0.15">
      <c r="A35" s="76">
        <v>0.107</v>
      </c>
      <c r="B35" s="54">
        <v>0.62</v>
      </c>
      <c r="C35" s="54">
        <v>0.93</v>
      </c>
      <c r="D35" s="54">
        <v>1.62</v>
      </c>
      <c r="E35" s="77">
        <f t="shared" si="0"/>
        <v>1.0566666666666666</v>
      </c>
    </row>
    <row r="36" spans="1:7" x14ac:dyDescent="0.15">
      <c r="A36" s="78">
        <v>0.14299999999999999</v>
      </c>
      <c r="B36" s="56">
        <v>0.79</v>
      </c>
      <c r="C36" s="56">
        <v>1.2</v>
      </c>
      <c r="D36" s="56">
        <v>2.09</v>
      </c>
      <c r="E36" s="74">
        <f>ROUND(AVERAGE(B36:D36),2)</f>
        <v>1.36</v>
      </c>
      <c r="F36" s="79" t="s">
        <v>39</v>
      </c>
      <c r="G36" s="80">
        <f>ROUND(1.5*150*0.2/(E37-E34),0)</f>
        <v>53</v>
      </c>
    </row>
    <row r="37" spans="1:7" x14ac:dyDescent="0.15">
      <c r="A37" s="78">
        <v>0.17499999999999999</v>
      </c>
      <c r="B37" s="56">
        <v>0.94</v>
      </c>
      <c r="C37" s="56">
        <v>1.4</v>
      </c>
      <c r="D37" s="56">
        <v>2.48</v>
      </c>
      <c r="E37" s="74">
        <f t="shared" si="0"/>
        <v>1.6066666666666667</v>
      </c>
    </row>
    <row r="38" spans="1:7" x14ac:dyDescent="0.15">
      <c r="A38" s="76">
        <v>0.214</v>
      </c>
      <c r="B38" s="54">
        <v>1.1499999999999999</v>
      </c>
      <c r="C38" s="54">
        <v>1.72</v>
      </c>
      <c r="D38" s="54">
        <v>2.96</v>
      </c>
      <c r="E38" s="74">
        <f t="shared" si="0"/>
        <v>1.9433333333333334</v>
      </c>
    </row>
    <row r="39" spans="1:7" x14ac:dyDescent="0.15">
      <c r="A39" s="81">
        <v>0.25</v>
      </c>
      <c r="B39" s="57">
        <v>1.36</v>
      </c>
      <c r="C39" s="57">
        <v>2.04</v>
      </c>
      <c r="D39" s="57">
        <v>3.32</v>
      </c>
      <c r="E39" s="82">
        <f t="shared" si="0"/>
        <v>2.2400000000000002</v>
      </c>
    </row>
    <row r="40" spans="1:7" x14ac:dyDescent="0.15">
      <c r="A40" s="83">
        <f>A39</f>
        <v>0.25</v>
      </c>
      <c r="B40" s="84" t="s">
        <v>3</v>
      </c>
      <c r="C40" s="84"/>
      <c r="D40" s="84"/>
      <c r="E40" s="85">
        <f>E39</f>
        <v>2.2400000000000002</v>
      </c>
    </row>
    <row r="41" spans="1:7" x14ac:dyDescent="0.15">
      <c r="A41" s="76">
        <v>0.125</v>
      </c>
      <c r="B41" s="58">
        <v>1.25</v>
      </c>
      <c r="C41" s="58">
        <v>1.91</v>
      </c>
      <c r="D41" s="58">
        <v>3.18</v>
      </c>
      <c r="E41" s="86">
        <f t="shared" si="0"/>
        <v>2.1133333333333333</v>
      </c>
    </row>
    <row r="42" spans="1:7" x14ac:dyDescent="0.15">
      <c r="A42" s="78">
        <v>6.25E-2</v>
      </c>
      <c r="B42" s="59">
        <v>1.08</v>
      </c>
      <c r="C42" s="59">
        <v>1.73</v>
      </c>
      <c r="D42" s="59">
        <v>3</v>
      </c>
      <c r="E42" s="87">
        <f t="shared" si="0"/>
        <v>1.9366666666666668</v>
      </c>
    </row>
    <row r="43" spans="1:7" x14ac:dyDescent="0.15">
      <c r="A43" s="81">
        <v>0</v>
      </c>
      <c r="B43" s="60">
        <v>0.79</v>
      </c>
      <c r="C43" s="60">
        <v>1.43</v>
      </c>
      <c r="D43" s="60">
        <v>2.65</v>
      </c>
      <c r="E43" s="87">
        <f t="shared" si="0"/>
        <v>1.6233333333333331</v>
      </c>
    </row>
    <row r="44" spans="1:7" x14ac:dyDescent="0.15">
      <c r="A44" s="83">
        <f>A43</f>
        <v>0</v>
      </c>
      <c r="B44" s="84" t="s">
        <v>4</v>
      </c>
      <c r="C44" s="88"/>
      <c r="D44" s="89"/>
      <c r="E44" s="90">
        <f>E43</f>
        <v>1.6233333333333331</v>
      </c>
    </row>
    <row r="45" spans="1:7" x14ac:dyDescent="0.15">
      <c r="A45" s="76">
        <v>3.5999999999999997E-2</v>
      </c>
      <c r="B45" s="60">
        <v>0.9</v>
      </c>
      <c r="C45" s="60">
        <v>1.52</v>
      </c>
      <c r="D45" s="60">
        <v>2.77</v>
      </c>
      <c r="E45" s="87">
        <f t="shared" si="0"/>
        <v>1.7299999999999998</v>
      </c>
    </row>
    <row r="46" spans="1:7" x14ac:dyDescent="0.15">
      <c r="A46" s="78">
        <v>7.4999999999999997E-2</v>
      </c>
      <c r="B46" s="60">
        <v>1.01</v>
      </c>
      <c r="C46" s="60">
        <v>1.66</v>
      </c>
      <c r="D46" s="60">
        <v>2.91</v>
      </c>
      <c r="E46" s="87">
        <f>ROUND(AVERAGE(B46:D46),2)</f>
        <v>1.86</v>
      </c>
    </row>
    <row r="47" spans="1:7" x14ac:dyDescent="0.15">
      <c r="A47" s="78">
        <v>0.107</v>
      </c>
      <c r="B47" s="60">
        <v>1.1599999999999999</v>
      </c>
      <c r="C47" s="60">
        <v>1.74</v>
      </c>
      <c r="D47" s="60">
        <v>3</v>
      </c>
      <c r="E47" s="87">
        <f>ROUND(AVERAGE(B47:D47),2)</f>
        <v>1.97</v>
      </c>
    </row>
    <row r="48" spans="1:7" x14ac:dyDescent="0.15">
      <c r="A48" s="76">
        <v>0.14299999999999999</v>
      </c>
      <c r="B48" s="59">
        <v>1.17</v>
      </c>
      <c r="C48" s="59">
        <v>1.83</v>
      </c>
      <c r="D48" s="59">
        <v>3.1</v>
      </c>
      <c r="E48" s="91">
        <f t="shared" si="0"/>
        <v>2.0333333333333332</v>
      </c>
    </row>
    <row r="49" spans="1:7" x14ac:dyDescent="0.15">
      <c r="A49" s="78">
        <v>0.17499999999999999</v>
      </c>
      <c r="B49" s="59">
        <v>1.26</v>
      </c>
      <c r="C49" s="59">
        <v>1.96</v>
      </c>
      <c r="D49" s="59">
        <v>3.24</v>
      </c>
      <c r="E49" s="91">
        <f>ROUND(AVERAGE(B49:D49),2)</f>
        <v>2.15</v>
      </c>
      <c r="F49" s="92" t="s">
        <v>40</v>
      </c>
      <c r="G49" s="93">
        <f>ROUND(1.5*150*0.2/(E49-E46),0)</f>
        <v>155</v>
      </c>
    </row>
    <row r="50" spans="1:7" ht="14" thickBot="1" x14ac:dyDescent="0.2">
      <c r="A50" s="94">
        <v>0.214</v>
      </c>
      <c r="B50" s="61">
        <v>1.33</v>
      </c>
      <c r="C50" s="61">
        <v>2.02</v>
      </c>
      <c r="D50" s="61">
        <v>3.3</v>
      </c>
      <c r="E50" s="95">
        <f t="shared" si="0"/>
        <v>2.2166666666666668</v>
      </c>
      <c r="F50" s="79" t="s">
        <v>41</v>
      </c>
      <c r="G50" s="96">
        <f>ROUND(G49/G36,2)</f>
        <v>2.92</v>
      </c>
    </row>
    <row r="51" spans="1:7" ht="14" thickTop="1" x14ac:dyDescent="0.15"/>
  </sheetData>
  <sheetProtection selectLockedCells="1"/>
  <mergeCells count="22">
    <mergeCell ref="A18:B18"/>
    <mergeCell ref="A31:E31"/>
    <mergeCell ref="A22:B22"/>
    <mergeCell ref="A20:B20"/>
    <mergeCell ref="A21:B21"/>
    <mergeCell ref="A23:B23"/>
    <mergeCell ref="A8:B8"/>
    <mergeCell ref="E29:E30"/>
    <mergeCell ref="A29:A30"/>
    <mergeCell ref="B29:D29"/>
    <mergeCell ref="A26:B26"/>
    <mergeCell ref="A10:B10"/>
    <mergeCell ref="A12:B12"/>
    <mergeCell ref="A14:B14"/>
    <mergeCell ref="A16:B16"/>
    <mergeCell ref="A9:B9"/>
    <mergeCell ref="A1:B1"/>
    <mergeCell ref="A2:B2"/>
    <mergeCell ref="A3:B3"/>
    <mergeCell ref="A5:B5"/>
    <mergeCell ref="A6:B6"/>
    <mergeCell ref="A7:B7"/>
  </mergeCells>
  <phoneticPr fontId="12" type="noConversion"/>
  <pageMargins left="0.74803149606299213" right="0.74803149606299213" top="0.98425196850393704" bottom="0.98425196850393704" header="0" footer="0"/>
  <pageSetup paperSize="9" orientation="portrait" horizontalDpi="300" verticalDpi="300"/>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2052" r:id="rId3" name="Button 4">
              <controlPr defaultSize="0" print="0" autoFill="0" autoPict="0" macro="[0]!VerInf">
                <anchor moveWithCells="1" sizeWithCells="1">
                  <from>
                    <xdr:col>5</xdr:col>
                    <xdr:colOff>139700</xdr:colOff>
                    <xdr:row>0</xdr:row>
                    <xdr:rowOff>114300</xdr:rowOff>
                  </from>
                  <to>
                    <xdr:col>6</xdr:col>
                    <xdr:colOff>355600</xdr:colOff>
                    <xdr:row>2</xdr:row>
                    <xdr:rowOff>0</xdr:rowOff>
                  </to>
                </anchor>
              </controlPr>
            </control>
          </mc:Choice>
        </mc:AlternateContent>
        <mc:AlternateContent xmlns:mc="http://schemas.openxmlformats.org/markup-compatibility/2006">
          <mc:Choice Requires="x14">
            <control shapeId="2053" r:id="rId4" name="Button 5">
              <controlPr defaultSize="0" print="0" autoFill="0" autoPict="0" macro="[0]!SaveAs">
                <anchor moveWithCells="1" sizeWithCells="1">
                  <from>
                    <xdr:col>6</xdr:col>
                    <xdr:colOff>457200</xdr:colOff>
                    <xdr:row>0</xdr:row>
                    <xdr:rowOff>114300</xdr:rowOff>
                  </from>
                  <to>
                    <xdr:col>8</xdr:col>
                    <xdr:colOff>0</xdr:colOff>
                    <xdr:row>2</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4A7E1-C254-364F-A36C-E4B1BE4FE4BD}">
  <sheetPr codeName="Hoja2"/>
  <dimension ref="A1:I65"/>
  <sheetViews>
    <sheetView showGridLines="0" tabSelected="1" view="pageBreakPreview" zoomScaleNormal="100" zoomScaleSheetLayoutView="100" workbookViewId="0">
      <selection activeCell="I63" sqref="I63"/>
    </sheetView>
  </sheetViews>
  <sheetFormatPr baseColWidth="10" defaultRowHeight="13" x14ac:dyDescent="0.15"/>
  <cols>
    <col min="1" max="1" width="15.5" customWidth="1"/>
    <col min="2" max="2" width="9.83203125" customWidth="1"/>
    <col min="3" max="3" width="10.6640625" customWidth="1"/>
    <col min="4" max="4" width="10.83203125" customWidth="1"/>
    <col min="5" max="5" width="12.5" customWidth="1"/>
    <col min="6" max="6" width="15" customWidth="1"/>
    <col min="7" max="7" width="15.33203125" customWidth="1"/>
  </cols>
  <sheetData>
    <row r="1" spans="1:7" ht="9.75" customHeight="1" thickBot="1" x14ac:dyDescent="0.2">
      <c r="A1" s="30"/>
      <c r="B1" s="30"/>
      <c r="C1" s="30"/>
      <c r="D1" s="30"/>
      <c r="E1" s="30"/>
      <c r="F1" s="30"/>
      <c r="G1" s="30"/>
    </row>
    <row r="2" spans="1:7" ht="22.5" customHeight="1" thickTop="1" x14ac:dyDescent="0.15">
      <c r="A2" s="143" t="s">
        <v>8</v>
      </c>
      <c r="B2" s="143"/>
      <c r="C2" s="143"/>
      <c r="D2" s="143"/>
      <c r="E2" s="143"/>
      <c r="F2" s="143"/>
      <c r="G2" s="143"/>
    </row>
    <row r="3" spans="1:7" ht="22.5" customHeight="1" x14ac:dyDescent="0.15">
      <c r="A3" s="134" t="str">
        <f>CONCATENATE("Obra: ",DATINF!C5)</f>
        <v>Obra: RENOVACIÓN DE LAS VÍAS DEL RAMAL DE ACCESO AL PUERTO DE FERROL EN EL ÁMBITO DE TITULARIDAD DE LA APFSC HASTA SU CONEXIÓN CON EL NUEVO ACCESO FERROVIARO AL PUERTO EXTERIOR- DOTACIÓN DEL TERCER HILO" (P-1655)</v>
      </c>
      <c r="B3" s="135"/>
      <c r="C3" s="135"/>
      <c r="D3" s="135"/>
      <c r="E3" s="135"/>
      <c r="F3" s="135"/>
      <c r="G3" s="136"/>
    </row>
    <row r="4" spans="1:7" ht="16.5" customHeight="1" x14ac:dyDescent="0.15">
      <c r="A4" s="137"/>
      <c r="B4" s="138"/>
      <c r="C4" s="138"/>
      <c r="D4" s="138"/>
      <c r="E4" s="138"/>
      <c r="F4" s="138"/>
      <c r="G4" s="139"/>
    </row>
    <row r="5" spans="1:7" x14ac:dyDescent="0.15">
      <c r="A5" s="35" t="str">
        <f>CONCATENATE("Cliente: ",DATINF!C4)</f>
        <v>Cliente: S. A. de Obras y Servicios, COPASA</v>
      </c>
      <c r="B5" s="101"/>
      <c r="C5" s="102"/>
      <c r="D5" s="102"/>
      <c r="E5" s="102"/>
      <c r="F5" s="37" t="str">
        <f>CONCATENATE("Ref. de obra: ",DATINF!C6)</f>
        <v>Ref. de obra: 0167/26</v>
      </c>
      <c r="G5" s="38"/>
    </row>
    <row r="6" spans="1:7" x14ac:dyDescent="0.15">
      <c r="A6" s="39" t="str">
        <f>CONCATENATE("Procedencia: ",DATINF!C3)</f>
        <v xml:space="preserve">Procedencia: </v>
      </c>
      <c r="B6" s="40"/>
      <c r="C6" s="41"/>
      <c r="D6" s="42"/>
      <c r="E6" s="41"/>
      <c r="F6" s="50" t="str">
        <f>CONCATENATE("Orden de trabajo: ",DATINF!C8)</f>
        <v>Orden de trabajo: 26/1503</v>
      </c>
      <c r="G6" s="43"/>
    </row>
    <row r="7" spans="1:7" x14ac:dyDescent="0.15">
      <c r="A7" s="39" t="str">
        <f>CONCATENATE("Fecha ensayo: ",DATINF!C1)</f>
        <v>Fecha ensayo: 12-03-2026</v>
      </c>
      <c r="B7" s="44"/>
      <c r="C7" s="106" t="str">
        <f>CONCATENATE("Climatología: ",DATINF!C20)</f>
        <v>Climatología: Soleado</v>
      </c>
      <c r="D7" s="107"/>
      <c r="E7" s="107"/>
      <c r="F7" s="51" t="str">
        <f>CONCATENATE("Temperatura ºC: ",DATINF!C21)</f>
        <v>Temperatura ºC: 15</v>
      </c>
      <c r="G7" s="45"/>
    </row>
    <row r="8" spans="1:7" x14ac:dyDescent="0.15">
      <c r="A8" s="39" t="str">
        <f>CONCATENATE("P.K.: ",DATINF!C22)</f>
        <v>P.K.: PK 0+060</v>
      </c>
      <c r="B8" s="36"/>
      <c r="C8" s="37"/>
      <c r="D8" s="42"/>
      <c r="E8" s="102"/>
      <c r="F8" s="100" t="str">
        <f>CONCATENATE("Capa: ",DATINF!C23)</f>
        <v>Capa: Macadam (relleno saneo)</v>
      </c>
      <c r="G8" s="46"/>
    </row>
    <row r="9" spans="1:7" x14ac:dyDescent="0.15">
      <c r="A9" s="47" t="str">
        <f>CONCATENATE("Humedad suelo: ",DATINF!C24)</f>
        <v xml:space="preserve">Humedad suelo: </v>
      </c>
      <c r="B9" s="108"/>
      <c r="C9" s="64" t="s">
        <v>30</v>
      </c>
      <c r="D9" s="48" t="str">
        <f>CONCATENATE("placa: ",DATINF!C25, " cm")</f>
        <v>placa: 60 cm</v>
      </c>
      <c r="E9" s="48"/>
      <c r="F9" s="48" t="str">
        <f>CONCATENATE("Tiempo invertido (min): ",DATINF!C26)</f>
        <v>Tiempo invertido (min): 50</v>
      </c>
      <c r="G9" s="49"/>
    </row>
    <row r="10" spans="1:7" ht="14" thickBot="1" x14ac:dyDescent="0.2"/>
    <row r="11" spans="1:7" ht="13.5" customHeight="1" thickTop="1" x14ac:dyDescent="0.15">
      <c r="A11" s="144" t="str">
        <f>DATINF!A29</f>
        <v>Carga específica Mpa</v>
      </c>
      <c r="B11" s="146" t="s">
        <v>0</v>
      </c>
      <c r="C11" s="147"/>
      <c r="D11" s="148"/>
      <c r="E11" s="149" t="s">
        <v>21</v>
      </c>
      <c r="F11" s="2"/>
      <c r="G11" s="2"/>
    </row>
    <row r="12" spans="1:7" ht="12" customHeight="1" x14ac:dyDescent="0.15">
      <c r="A12" s="145" t="s">
        <v>1</v>
      </c>
      <c r="B12" s="34">
        <v>1</v>
      </c>
      <c r="C12" s="34">
        <v>2</v>
      </c>
      <c r="D12" s="34">
        <v>3</v>
      </c>
      <c r="E12" s="150"/>
      <c r="F12" s="2"/>
      <c r="G12" s="2"/>
    </row>
    <row r="13" spans="1:7" ht="12" customHeight="1" x14ac:dyDescent="0.15">
      <c r="A13" s="151" t="s">
        <v>2</v>
      </c>
      <c r="B13" s="152"/>
      <c r="C13" s="152"/>
      <c r="D13" s="152"/>
      <c r="E13" s="153"/>
      <c r="F13" s="2"/>
      <c r="G13" s="2"/>
    </row>
    <row r="14" spans="1:7" ht="12" customHeight="1" x14ac:dyDescent="0.15">
      <c r="A14" s="26">
        <f>DATINF!A32</f>
        <v>0</v>
      </c>
      <c r="B14" s="5">
        <f>DATINF!B32</f>
        <v>0</v>
      </c>
      <c r="C14" s="5">
        <f>DATINF!C32</f>
        <v>0</v>
      </c>
      <c r="D14" s="5">
        <f>DATINF!D32</f>
        <v>0</v>
      </c>
      <c r="E14" s="13">
        <f>DATINF!E32</f>
        <v>0</v>
      </c>
      <c r="F14" s="2" t="str">
        <f>IF(DATINF!F32="","",DATINF!F32)</f>
        <v/>
      </c>
      <c r="G14" s="2" t="str">
        <f>IF(DATINF!G32="","",DATINF!G32)</f>
        <v/>
      </c>
    </row>
    <row r="15" spans="1:7" ht="12" customHeight="1" x14ac:dyDescent="0.15">
      <c r="A15" s="22">
        <f>DATINF!A33</f>
        <v>3.5999999999999997E-2</v>
      </c>
      <c r="B15" s="12">
        <f>DATINF!B33</f>
        <v>0.15</v>
      </c>
      <c r="C15" s="12">
        <f>DATINF!C33</f>
        <v>0.2</v>
      </c>
      <c r="D15" s="12">
        <f>DATINF!D33</f>
        <v>0.3</v>
      </c>
      <c r="E15" s="13">
        <f>DATINF!E33</f>
        <v>0.21666666666666665</v>
      </c>
      <c r="F15" s="2" t="str">
        <f>IF(DATINF!F33="","",DATINF!F33)</f>
        <v/>
      </c>
      <c r="G15" s="2" t="str">
        <f>IF(DATINF!G33="","",DATINF!G33)</f>
        <v/>
      </c>
    </row>
    <row r="16" spans="1:7" ht="12" customHeight="1" x14ac:dyDescent="0.15">
      <c r="A16" s="22">
        <f>DATINF!A34</f>
        <v>7.4999999999999997E-2</v>
      </c>
      <c r="B16" s="12">
        <f>DATINF!B34</f>
        <v>0.48</v>
      </c>
      <c r="C16" s="12">
        <f>DATINF!C34</f>
        <v>0.67</v>
      </c>
      <c r="D16" s="12">
        <f>DATINF!D34</f>
        <v>1.1000000000000001</v>
      </c>
      <c r="E16" s="13">
        <f>DATINF!E34</f>
        <v>0.75</v>
      </c>
      <c r="F16" s="2" t="str">
        <f>IF(DATINF!F34="","",DATINF!F34)</f>
        <v/>
      </c>
      <c r="G16" s="2" t="str">
        <f>IF(DATINF!G34="","",DATINF!G34)</f>
        <v/>
      </c>
    </row>
    <row r="17" spans="1:9" ht="12" customHeight="1" x14ac:dyDescent="0.15">
      <c r="A17" s="4">
        <f>DATINF!A35</f>
        <v>0.107</v>
      </c>
      <c r="B17" s="5">
        <f>DATINF!B35</f>
        <v>0.62</v>
      </c>
      <c r="C17" s="5">
        <f>DATINF!C35</f>
        <v>0.93</v>
      </c>
      <c r="D17" s="5">
        <f>DATINF!D35</f>
        <v>1.62</v>
      </c>
      <c r="E17" s="7">
        <f>DATINF!E35</f>
        <v>1.0566666666666666</v>
      </c>
      <c r="F17" s="2" t="str">
        <f>IF(DATINF!F35="","",DATINF!F35)</f>
        <v/>
      </c>
      <c r="G17" s="2" t="str">
        <f>IF(DATINF!G35="","",DATINF!G35)</f>
        <v/>
      </c>
    </row>
    <row r="18" spans="1:9" ht="12" customHeight="1" x14ac:dyDescent="0.15">
      <c r="A18" s="14">
        <f>DATINF!A36</f>
        <v>0.14299999999999999</v>
      </c>
      <c r="B18" s="15">
        <f>DATINF!B36</f>
        <v>0.79</v>
      </c>
      <c r="C18" s="15">
        <f>DATINF!C36</f>
        <v>1.2</v>
      </c>
      <c r="D18" s="15">
        <f>DATINF!D36</f>
        <v>2.09</v>
      </c>
      <c r="E18" s="21">
        <f>DATINF!E36</f>
        <v>1.36</v>
      </c>
      <c r="F18" s="52" t="str">
        <f>IF(DATINF!F36="","",DATINF!F36)</f>
        <v>Ev1 (MPa):</v>
      </c>
      <c r="G18" s="103">
        <f>IF(DATINF!G36="","",DATINF!G36)</f>
        <v>53</v>
      </c>
    </row>
    <row r="19" spans="1:9" ht="13" customHeight="1" x14ac:dyDescent="0.15">
      <c r="A19" s="14">
        <f>DATINF!A37</f>
        <v>0.17499999999999999</v>
      </c>
      <c r="B19" s="15">
        <f>DATINF!B37</f>
        <v>0.94</v>
      </c>
      <c r="C19" s="15">
        <f>DATINF!C37</f>
        <v>1.4</v>
      </c>
      <c r="D19" s="15">
        <f>DATINF!D37</f>
        <v>2.48</v>
      </c>
      <c r="E19" s="21">
        <f>DATINF!E37</f>
        <v>1.6066666666666667</v>
      </c>
      <c r="F19" s="2" t="str">
        <f>IF(DATINF!F37="","",DATINF!F37)</f>
        <v/>
      </c>
      <c r="G19" s="2" t="str">
        <f>IF(DATINF!G37="","",DATINF!G37)</f>
        <v/>
      </c>
    </row>
    <row r="20" spans="1:9" ht="13" customHeight="1" x14ac:dyDescent="0.15">
      <c r="A20" s="4">
        <f>DATINF!A38</f>
        <v>0.214</v>
      </c>
      <c r="B20" s="5">
        <f>DATINF!B38</f>
        <v>1.1499999999999999</v>
      </c>
      <c r="C20" s="5">
        <f>DATINF!C38</f>
        <v>1.72</v>
      </c>
      <c r="D20" s="5">
        <f>DATINF!D38</f>
        <v>2.96</v>
      </c>
      <c r="E20" s="13">
        <f>DATINF!E38</f>
        <v>1.9433333333333334</v>
      </c>
      <c r="F20" s="2"/>
      <c r="G20" s="2"/>
    </row>
    <row r="21" spans="1:9" ht="12" customHeight="1" x14ac:dyDescent="0.15">
      <c r="A21" s="25">
        <f>DATINF!A39</f>
        <v>0.25</v>
      </c>
      <c r="B21" s="16">
        <f>DATINF!B39</f>
        <v>1.36</v>
      </c>
      <c r="C21" s="16">
        <f>DATINF!C39</f>
        <v>2.04</v>
      </c>
      <c r="D21" s="16">
        <f>DATINF!D39</f>
        <v>3.32</v>
      </c>
      <c r="E21" s="17">
        <f>DATINF!E39</f>
        <v>2.2400000000000002</v>
      </c>
      <c r="F21" s="2" t="str">
        <f>IF(DATINF!F39="","",DATINF!F39)</f>
        <v/>
      </c>
      <c r="G21" s="2" t="str">
        <f>IF(DATINF!G39="","",DATINF!G39)</f>
        <v/>
      </c>
    </row>
    <row r="22" spans="1:9" ht="12" customHeight="1" x14ac:dyDescent="0.15">
      <c r="A22" s="32">
        <f>A21</f>
        <v>0.25</v>
      </c>
      <c r="B22" s="3" t="s">
        <v>3</v>
      </c>
      <c r="C22" s="3"/>
      <c r="D22" s="3"/>
      <c r="E22" s="28"/>
      <c r="F22" s="2" t="str">
        <f>IF(DATINF!F40="","",DATINF!F40)</f>
        <v/>
      </c>
      <c r="G22" s="2" t="str">
        <f>IF(DATINF!G40="","",DATINF!G40)</f>
        <v/>
      </c>
    </row>
    <row r="23" spans="1:9" ht="12" customHeight="1" x14ac:dyDescent="0.15">
      <c r="A23" s="4">
        <f>DATINF!A41</f>
        <v>0.125</v>
      </c>
      <c r="B23" s="6">
        <f>DATINF!B41</f>
        <v>1.25</v>
      </c>
      <c r="C23" s="6">
        <f>DATINF!C41</f>
        <v>1.91</v>
      </c>
      <c r="D23" s="6">
        <f>DATINF!D41</f>
        <v>3.18</v>
      </c>
      <c r="E23" s="7">
        <f>DATINF!E41</f>
        <v>2.1133333333333333</v>
      </c>
      <c r="F23" s="2" t="str">
        <f>IF(DATINF!F41="","",DATINF!F41)</f>
        <v/>
      </c>
      <c r="G23" s="2" t="str">
        <f>IF(DATINF!G41="","",DATINF!G41)</f>
        <v/>
      </c>
    </row>
    <row r="24" spans="1:9" ht="12" customHeight="1" x14ac:dyDescent="0.15">
      <c r="A24" s="14">
        <f>DATINF!A42</f>
        <v>6.25E-2</v>
      </c>
      <c r="B24" s="18">
        <f>DATINF!B42</f>
        <v>1.08</v>
      </c>
      <c r="C24" s="18">
        <f>DATINF!C42</f>
        <v>1.73</v>
      </c>
      <c r="D24" s="18">
        <f>DATINF!D42</f>
        <v>3</v>
      </c>
      <c r="E24" s="21">
        <f>DATINF!E42</f>
        <v>1.9366666666666668</v>
      </c>
      <c r="F24" s="2" t="str">
        <f>IF(DATINF!F42="","",DATINF!F42)</f>
        <v/>
      </c>
      <c r="G24" s="2" t="str">
        <f>IF(DATINF!G42="","",DATINF!G42)</f>
        <v/>
      </c>
    </row>
    <row r="25" spans="1:9" ht="12" customHeight="1" x14ac:dyDescent="0.15">
      <c r="A25" s="25">
        <f>DATINF!A43</f>
        <v>0</v>
      </c>
      <c r="B25" s="20">
        <f>DATINF!B43</f>
        <v>0.79</v>
      </c>
      <c r="C25" s="20">
        <f>DATINF!C43</f>
        <v>1.43</v>
      </c>
      <c r="D25" s="20">
        <f>DATINF!D43</f>
        <v>2.65</v>
      </c>
      <c r="E25" s="21">
        <f>DATINF!E43</f>
        <v>1.6233333333333331</v>
      </c>
      <c r="F25" s="2" t="str">
        <f>IF(DATINF!F43="","",DATINF!F43)</f>
        <v/>
      </c>
      <c r="G25" s="2" t="str">
        <f>IF(DATINF!G43="","",DATINF!G43)</f>
        <v/>
      </c>
      <c r="I25" s="27"/>
    </row>
    <row r="26" spans="1:9" ht="12" customHeight="1" x14ac:dyDescent="0.15">
      <c r="A26" s="32">
        <f>A25</f>
        <v>0</v>
      </c>
      <c r="B26" s="3" t="s">
        <v>4</v>
      </c>
      <c r="C26" s="24"/>
      <c r="D26" s="8"/>
      <c r="E26" s="29"/>
      <c r="F26" s="2" t="str">
        <f>IF(DATINF!F44="","",DATINF!F44)</f>
        <v/>
      </c>
      <c r="G26" s="2" t="str">
        <f>IF(DATINF!G44="","",DATINF!G44)</f>
        <v/>
      </c>
      <c r="I26" s="27"/>
    </row>
    <row r="27" spans="1:9" ht="12" customHeight="1" x14ac:dyDescent="0.15">
      <c r="A27" s="4">
        <f>DATINF!A45</f>
        <v>3.5999999999999997E-2</v>
      </c>
      <c r="B27" s="20">
        <f>DATINF!B45</f>
        <v>0.9</v>
      </c>
      <c r="C27" s="20">
        <f>DATINF!C45</f>
        <v>1.52</v>
      </c>
      <c r="D27" s="20">
        <f>DATINF!D45</f>
        <v>2.77</v>
      </c>
      <c r="E27" s="21">
        <f>DATINF!E45</f>
        <v>1.7299999999999998</v>
      </c>
      <c r="F27" s="2" t="str">
        <f>IF(DATINF!F45="","",DATINF!F45)</f>
        <v/>
      </c>
      <c r="G27" s="2" t="str">
        <f>IF(DATINF!G45="","",DATINF!G45)</f>
        <v/>
      </c>
    </row>
    <row r="28" spans="1:9" ht="12" customHeight="1" x14ac:dyDescent="0.15">
      <c r="A28" s="14">
        <f>DATINF!A46</f>
        <v>7.4999999999999997E-2</v>
      </c>
      <c r="B28" s="20">
        <f>DATINF!B46</f>
        <v>1.01</v>
      </c>
      <c r="C28" s="20">
        <f>DATINF!C46</f>
        <v>1.66</v>
      </c>
      <c r="D28" s="20">
        <f>DATINF!D46</f>
        <v>2.91</v>
      </c>
      <c r="E28" s="21">
        <f>DATINF!E46</f>
        <v>1.86</v>
      </c>
      <c r="F28" s="2" t="str">
        <f>IF(DATINF!F46="","",DATINF!F46)</f>
        <v/>
      </c>
      <c r="G28" s="2" t="str">
        <f>IF(DATINF!G46="","",DATINF!G46)</f>
        <v/>
      </c>
    </row>
    <row r="29" spans="1:9" ht="12" customHeight="1" x14ac:dyDescent="0.15">
      <c r="A29" s="14">
        <f>DATINF!A47</f>
        <v>0.107</v>
      </c>
      <c r="B29" s="20">
        <f>DATINF!B47</f>
        <v>1.1599999999999999</v>
      </c>
      <c r="C29" s="20">
        <f>DATINF!C47</f>
        <v>1.74</v>
      </c>
      <c r="D29" s="20">
        <f>DATINF!D47</f>
        <v>3</v>
      </c>
      <c r="E29" s="21">
        <f>DATINF!E47</f>
        <v>1.97</v>
      </c>
      <c r="F29" s="2"/>
      <c r="G29" s="2"/>
    </row>
    <row r="30" spans="1:9" ht="12" customHeight="1" x14ac:dyDescent="0.15">
      <c r="A30" s="4">
        <f>DATINF!A48</f>
        <v>0.14299999999999999</v>
      </c>
      <c r="B30" s="18">
        <f>DATINF!B48</f>
        <v>1.17</v>
      </c>
      <c r="C30" s="18">
        <f>DATINF!C48</f>
        <v>1.83</v>
      </c>
      <c r="D30" s="18">
        <f>DATINF!D48</f>
        <v>3.1</v>
      </c>
      <c r="E30" s="19">
        <f>DATINF!E48</f>
        <v>2.0333333333333332</v>
      </c>
      <c r="F30" s="2" t="str">
        <f>IF(DATINF!F48="","",DATINF!F48)</f>
        <v/>
      </c>
      <c r="G30" s="2" t="str">
        <f>IF(DATINF!G48="","",DATINF!G48)</f>
        <v/>
      </c>
    </row>
    <row r="31" spans="1:9" ht="12" customHeight="1" x14ac:dyDescent="0.15">
      <c r="A31" s="14">
        <f>DATINF!A49</f>
        <v>0.17499999999999999</v>
      </c>
      <c r="B31" s="18">
        <f>DATINF!B49</f>
        <v>1.26</v>
      </c>
      <c r="C31" s="18">
        <f>DATINF!C49</f>
        <v>1.96</v>
      </c>
      <c r="D31" s="18">
        <f>DATINF!D49</f>
        <v>3.24</v>
      </c>
      <c r="E31" s="19">
        <f>DATINF!E49</f>
        <v>2.15</v>
      </c>
      <c r="F31" s="52" t="str">
        <f>IF(DATINF!F49="","",DATINF!F49)</f>
        <v>Ev2 (MPa):</v>
      </c>
      <c r="G31" s="103">
        <f>IF(DATINF!G49="","",DATINF!G49)</f>
        <v>155</v>
      </c>
    </row>
    <row r="32" spans="1:9" ht="12" customHeight="1" thickBot="1" x14ac:dyDescent="0.2">
      <c r="A32" s="9">
        <f>DATINF!A50</f>
        <v>0.214</v>
      </c>
      <c r="B32" s="10">
        <f>DATINF!B50</f>
        <v>1.33</v>
      </c>
      <c r="C32" s="10">
        <f>DATINF!C50</f>
        <v>2.02</v>
      </c>
      <c r="D32" s="10">
        <f>DATINF!D50</f>
        <v>3.3</v>
      </c>
      <c r="E32" s="11">
        <f>DATINF!E50</f>
        <v>2.2166666666666668</v>
      </c>
      <c r="F32" s="52" t="str">
        <f>IF(DATINF!F50="","",DATINF!F50)</f>
        <v>Ev2/Ev1:</v>
      </c>
      <c r="G32" s="112">
        <f>IF(DATINF!G50="","",DATINF!G50)</f>
        <v>2.92</v>
      </c>
    </row>
    <row r="33" spans="1:7" ht="10" customHeight="1" thickTop="1" x14ac:dyDescent="0.15">
      <c r="E33" s="2"/>
    </row>
    <row r="34" spans="1:7" ht="12" customHeight="1" x14ac:dyDescent="0.15">
      <c r="A34" s="154" t="str">
        <f>CONCATENATE("Observaciones: ",DATINF!C27)</f>
        <v xml:space="preserve">Observaciones: </v>
      </c>
      <c r="B34" s="154"/>
      <c r="C34" s="154"/>
      <c r="D34" s="154"/>
      <c r="E34" s="154"/>
      <c r="F34" s="154"/>
      <c r="G34" s="154"/>
    </row>
    <row r="35" spans="1:7" x14ac:dyDescent="0.15">
      <c r="A35" s="154"/>
      <c r="B35" s="154"/>
      <c r="C35" s="154"/>
      <c r="D35" s="154"/>
      <c r="E35" s="154"/>
      <c r="F35" s="154"/>
      <c r="G35" s="154"/>
    </row>
    <row r="53" spans="1:7" ht="1.5" customHeight="1" x14ac:dyDescent="0.15"/>
    <row r="54" spans="1:7" ht="1.5" customHeight="1" x14ac:dyDescent="0.15"/>
    <row r="55" spans="1:7" hidden="1" x14ac:dyDescent="0.15"/>
    <row r="56" spans="1:7" ht="13.5" customHeight="1" x14ac:dyDescent="0.15">
      <c r="A56" s="142" t="s">
        <v>36</v>
      </c>
      <c r="B56" s="142"/>
      <c r="C56" s="142"/>
      <c r="D56" s="142"/>
      <c r="E56" s="142"/>
      <c r="F56" s="142"/>
      <c r="G56" s="142"/>
    </row>
    <row r="57" spans="1:7" ht="13.5" customHeight="1" x14ac:dyDescent="0.15">
      <c r="A57" s="142" t="s">
        <v>37</v>
      </c>
      <c r="B57" s="142"/>
      <c r="C57" s="142"/>
      <c r="D57" s="142"/>
      <c r="E57" s="142"/>
      <c r="F57" s="142"/>
      <c r="G57" s="142"/>
    </row>
    <row r="58" spans="1:7" ht="7.5" customHeight="1" x14ac:dyDescent="0.15">
      <c r="A58" s="110"/>
      <c r="B58" s="110"/>
      <c r="C58" s="110"/>
      <c r="D58" s="110"/>
      <c r="E58" s="110"/>
      <c r="F58" s="110"/>
      <c r="G58" s="110"/>
    </row>
    <row r="59" spans="1:7" ht="13.5" customHeight="1" x14ac:dyDescent="0.15">
      <c r="A59" s="111"/>
      <c r="B59" s="111"/>
      <c r="C59" s="140" t="s">
        <v>38</v>
      </c>
      <c r="D59" s="140"/>
      <c r="E59" s="141" t="str">
        <f>DATINF!C2</f>
        <v>12/03/2026</v>
      </c>
      <c r="F59" s="141"/>
      <c r="G59" s="141"/>
    </row>
    <row r="60" spans="1:7" ht="9.75" customHeight="1" x14ac:dyDescent="0.15">
      <c r="A60" s="1"/>
      <c r="B60" s="1"/>
      <c r="C60" s="1"/>
      <c r="D60" s="1"/>
      <c r="F60" s="1"/>
      <c r="G60" s="1"/>
    </row>
    <row r="61" spans="1:7" ht="13.5" customHeight="1" x14ac:dyDescent="0.15">
      <c r="A61" s="104" t="s">
        <v>5</v>
      </c>
      <c r="D61" s="23"/>
      <c r="F61" s="109" t="s">
        <v>34</v>
      </c>
    </row>
    <row r="62" spans="1:7" ht="20" customHeight="1" x14ac:dyDescent="0.15">
      <c r="A62" s="105"/>
      <c r="D62" s="23"/>
    </row>
    <row r="63" spans="1:7" ht="13.5" customHeight="1" x14ac:dyDescent="0.15">
      <c r="A63" s="104" t="s">
        <v>6</v>
      </c>
      <c r="D63" s="23"/>
      <c r="F63" s="23" t="s">
        <v>35</v>
      </c>
    </row>
    <row r="64" spans="1:7" ht="13.5" customHeight="1" x14ac:dyDescent="0.15">
      <c r="A64" s="113" t="str">
        <f>DATINF!C10</f>
        <v>S. A. de Obras y Servicios, COPASA Dirección: RUA DO PASEO, 25 - ENTLO. 32003 OURENSE OURENSE</v>
      </c>
      <c r="G64" s="31" t="s">
        <v>7</v>
      </c>
    </row>
    <row r="65" ht="18" customHeight="1" x14ac:dyDescent="0.15"/>
  </sheetData>
  <sheetProtection selectLockedCells="1" selectUnlockedCells="1"/>
  <mergeCells count="11">
    <mergeCell ref="A34:G35"/>
    <mergeCell ref="A3:G4"/>
    <mergeCell ref="C59:D59"/>
    <mergeCell ref="E59:G59"/>
    <mergeCell ref="A56:G56"/>
    <mergeCell ref="A57:G57"/>
    <mergeCell ref="A2:G2"/>
    <mergeCell ref="A11:A12"/>
    <mergeCell ref="B11:D11"/>
    <mergeCell ref="E11:E12"/>
    <mergeCell ref="A13:E13"/>
  </mergeCells>
  <phoneticPr fontId="0" type="noConversion"/>
  <printOptions horizontalCentered="1"/>
  <pageMargins left="0.59055118110236227" right="0.59055118110236227" top="0.94488188976377963" bottom="0.47244094488188981" header="0" footer="0.19685039370078741"/>
  <pageSetup paperSize="9" scale="95" orientation="portrait" verticalDpi="196"/>
  <headerFooter scaleWithDoc="0" alignWithMargins="0">
    <oddHeader>&amp;L&amp;G</oddHeader>
    <oddFooter>&amp;C&amp;6Laboratorio habilitado por la Xunta de Galicia e inscrito en el Registro General del CTE como LECCE con Nº: GAL-L-005 en las áreas de actuación: GT, VS, PS, EH, EA y EFA</oddFoot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DATINF</vt:lpstr>
      <vt:lpstr>INF</vt:lpstr>
      <vt:lpstr>INF!Área_de_impresión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Juan Martínez Quintana</cp:lastModifiedBy>
  <cp:lastPrinted>2026-03-12T17:21:03Z</cp:lastPrinted>
  <dcterms:created xsi:type="dcterms:W3CDTF">2000-08-30T03:46:52Z</dcterms:created>
  <dcterms:modified xsi:type="dcterms:W3CDTF">2026-06-17T12:13:35Z</dcterms:modified>
</cp:coreProperties>
</file>
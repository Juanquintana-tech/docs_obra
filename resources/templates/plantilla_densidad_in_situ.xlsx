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usuario/Desktop/"/>
    </mc:Choice>
  </mc:AlternateContent>
  <xr:revisionPtr revIDLastSave="0" documentId="8_{A8D2ACCE-1822-C245-A72D-67587E74240F}" xr6:coauthVersionLast="47" xr6:coauthVersionMax="47" xr10:uidLastSave="{00000000-0000-0000-0000-000000000000}"/>
  <bookViews>
    <workbookView xWindow="240" yWindow="500" windowWidth="23800" windowHeight="14200" xr2:uid="{03D1808D-4617-024E-9558-39EF6F0E288A}"/>
  </bookViews>
  <sheets>
    <sheet name="DATINF" sheetId="17" r:id="rId1"/>
    <sheet name="INF" sheetId="1" r:id="rId2"/>
  </sheets>
  <definedNames>
    <definedName name="_xlnm.Print_Area" localSheetId="1">INF!$A$1:$H$63</definedName>
    <definedName name="densidad" localSheetId="0">DATINF!$C$1:$C$20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2" i="1"/>
  <c r="A61" i="1"/>
  <c r="A60" i="1"/>
  <c r="A58" i="1"/>
  <c r="A59" i="1"/>
  <c r="E42" i="17"/>
  <c r="D30" i="1" s="1"/>
  <c r="E43" i="17"/>
  <c r="D31" i="1" s="1"/>
  <c r="F29" i="1"/>
  <c r="F28" i="1"/>
  <c r="F27" i="1"/>
  <c r="F26" i="1"/>
  <c r="F25" i="1"/>
  <c r="F24" i="1"/>
  <c r="F23" i="1"/>
  <c r="F22" i="1"/>
  <c r="D29" i="1"/>
  <c r="D28" i="1"/>
  <c r="D27" i="1"/>
  <c r="D26" i="1"/>
  <c r="D25" i="1"/>
  <c r="D24" i="1"/>
  <c r="D23" i="1"/>
  <c r="D22" i="1"/>
  <c r="B50" i="17"/>
  <c r="K39" i="17"/>
  <c r="D15" i="1"/>
  <c r="F21" i="1"/>
  <c r="F16" i="1"/>
  <c r="F17" i="1"/>
  <c r="F18" i="1"/>
  <c r="F19" i="1"/>
  <c r="F20" i="1"/>
  <c r="F15" i="1"/>
  <c r="D16" i="1"/>
  <c r="D17" i="1"/>
  <c r="D18" i="1"/>
  <c r="D19" i="1"/>
  <c r="D20" i="1"/>
  <c r="D21" i="1"/>
  <c r="D50" i="1"/>
  <c r="A11" i="1"/>
  <c r="G5" i="1"/>
  <c r="A26" i="17"/>
  <c r="A27" i="17" s="1"/>
  <c r="M26" i="17"/>
  <c r="G57" i="17"/>
  <c r="F42" i="17"/>
  <c r="F43" i="17" s="1"/>
  <c r="F31" i="1" s="1"/>
  <c r="C15" i="1"/>
  <c r="B15" i="1"/>
  <c r="P26" i="17"/>
  <c r="G6" i="1"/>
  <c r="C5" i="1"/>
  <c r="A7" i="1"/>
  <c r="A6" i="1"/>
  <c r="A4" i="1"/>
  <c r="H9" i="1"/>
  <c r="P27" i="17"/>
  <c r="Q27" i="17"/>
  <c r="P28" i="17"/>
  <c r="Q28" i="17"/>
  <c r="P29" i="17"/>
  <c r="Q29" i="17"/>
  <c r="P30" i="17"/>
  <c r="Q30" i="17"/>
  <c r="P31" i="17"/>
  <c r="Q31" i="17"/>
  <c r="P32" i="17"/>
  <c r="Q32" i="17"/>
  <c r="P33" i="17"/>
  <c r="Q33" i="17"/>
  <c r="P34" i="17"/>
  <c r="Q34" i="17"/>
  <c r="P35" i="17"/>
  <c r="Q35" i="17"/>
  <c r="P36" i="17"/>
  <c r="Q36" i="17"/>
  <c r="P37" i="17"/>
  <c r="Q37" i="17"/>
  <c r="P38" i="17"/>
  <c r="Q38" i="17"/>
  <c r="P39" i="17"/>
  <c r="Q39" i="17"/>
  <c r="P40" i="17"/>
  <c r="Q40" i="17"/>
  <c r="P41" i="17"/>
  <c r="Q41" i="17"/>
  <c r="K25" i="17"/>
  <c r="D7" i="17"/>
  <c r="Q26" i="17"/>
  <c r="S26" i="17"/>
  <c r="G33" i="1"/>
  <c r="G32" i="1"/>
  <c r="F30" i="1" l="1"/>
  <c r="A28" i="17"/>
  <c r="C27" i="17"/>
  <c r="B16" i="1" s="1"/>
  <c r="D27" i="17"/>
  <c r="C16" i="1" s="1"/>
  <c r="M27" i="17"/>
  <c r="H27" i="17"/>
  <c r="G27" i="17"/>
  <c r="G26" i="17"/>
  <c r="H26" i="17"/>
  <c r="H15" i="1" l="1"/>
  <c r="N26" i="17"/>
  <c r="N27" i="17"/>
  <c r="H16" i="1"/>
  <c r="A29" i="17"/>
  <c r="C28" i="17"/>
  <c r="B17" i="1" s="1"/>
  <c r="D28" i="17"/>
  <c r="C17" i="1" s="1"/>
  <c r="H28" i="17"/>
  <c r="M28" i="17"/>
  <c r="G28" i="17"/>
  <c r="N28" i="17" l="1"/>
  <c r="H17" i="1"/>
  <c r="D29" i="17"/>
  <c r="C18" i="1" s="1"/>
  <c r="H29" i="17"/>
  <c r="C29" i="17"/>
  <c r="B18" i="1" s="1"/>
  <c r="A30" i="17"/>
  <c r="M29" i="17"/>
  <c r="G29" i="17"/>
  <c r="N29" i="17" l="1"/>
  <c r="H18" i="1"/>
  <c r="D30" i="17"/>
  <c r="C19" i="1" s="1"/>
  <c r="M30" i="17"/>
  <c r="G30" i="17"/>
  <c r="H30" i="17"/>
  <c r="C30" i="17"/>
  <c r="B19" i="1" s="1"/>
  <c r="A31" i="17"/>
  <c r="A32" i="17" l="1"/>
  <c r="H31" i="17"/>
  <c r="M31" i="17"/>
  <c r="A20" i="1"/>
  <c r="G31" i="17"/>
  <c r="D31" i="17"/>
  <c r="C20" i="1" s="1"/>
  <c r="C31" i="17"/>
  <c r="B20" i="1" s="1"/>
  <c r="H19" i="1"/>
  <c r="N30" i="17"/>
  <c r="H20" i="1" l="1"/>
  <c r="N31" i="17"/>
  <c r="A21" i="1"/>
  <c r="H32" i="17"/>
  <c r="G32" i="17"/>
  <c r="D32" i="17"/>
  <c r="C21" i="1" s="1"/>
  <c r="A33" i="17"/>
  <c r="C32" i="17"/>
  <c r="B21" i="1" s="1"/>
  <c r="M32" i="17"/>
  <c r="N32" i="17" l="1"/>
  <c r="H21" i="1"/>
  <c r="A22" i="1"/>
  <c r="D33" i="17"/>
  <c r="C22" i="1" s="1"/>
  <c r="H33" i="17"/>
  <c r="G33" i="17"/>
  <c r="M33" i="17"/>
  <c r="C33" i="17"/>
  <c r="B22" i="1" s="1"/>
  <c r="A34" i="17"/>
  <c r="G34" i="17" l="1"/>
  <c r="C34" i="17"/>
  <c r="B23" i="1" s="1"/>
  <c r="A23" i="1"/>
  <c r="D34" i="17"/>
  <c r="C23" i="1" s="1"/>
  <c r="M34" i="17"/>
  <c r="A35" i="17"/>
  <c r="H34" i="17"/>
  <c r="H22" i="1"/>
  <c r="N33" i="17"/>
  <c r="M35" i="17" l="1"/>
  <c r="G35" i="17"/>
  <c r="A36" i="17"/>
  <c r="D35" i="17"/>
  <c r="C24" i="1" s="1"/>
  <c r="H35" i="17"/>
  <c r="A24" i="1"/>
  <c r="C35" i="17"/>
  <c r="B24" i="1" s="1"/>
  <c r="N34" i="17"/>
  <c r="H23" i="1"/>
  <c r="H24" i="1" l="1"/>
  <c r="N35" i="17"/>
  <c r="G36" i="17"/>
  <c r="A25" i="1"/>
  <c r="C36" i="17"/>
  <c r="B25" i="1" s="1"/>
  <c r="H36" i="17"/>
  <c r="A37" i="17"/>
  <c r="D36" i="17"/>
  <c r="C25" i="1" s="1"/>
  <c r="M36" i="17"/>
  <c r="H37" i="17" l="1"/>
  <c r="A38" i="17"/>
  <c r="A26" i="1"/>
  <c r="D37" i="17"/>
  <c r="C26" i="1" s="1"/>
  <c r="M37" i="17"/>
  <c r="C37" i="17"/>
  <c r="B26" i="1" s="1"/>
  <c r="G37" i="17"/>
  <c r="N36" i="17"/>
  <c r="H25" i="1"/>
  <c r="H26" i="1" l="1"/>
  <c r="N37" i="17"/>
  <c r="M38" i="17"/>
  <c r="A39" i="17"/>
  <c r="H38" i="17"/>
  <c r="A27" i="1"/>
  <c r="D38" i="17"/>
  <c r="C27" i="1" s="1"/>
  <c r="C38" i="17"/>
  <c r="B27" i="1" s="1"/>
  <c r="G38" i="17"/>
  <c r="M39" i="17" l="1"/>
  <c r="A40" i="17"/>
  <c r="A28" i="1"/>
  <c r="C39" i="17"/>
  <c r="B28" i="1" s="1"/>
  <c r="G39" i="17"/>
  <c r="H39" i="17"/>
  <c r="D39" i="17"/>
  <c r="C28" i="1" s="1"/>
  <c r="N38" i="17"/>
  <c r="H27" i="1"/>
  <c r="H28" i="1" l="1"/>
  <c r="N39" i="17"/>
  <c r="C40" i="17"/>
  <c r="B29" i="1" s="1"/>
  <c r="A41" i="17"/>
  <c r="A29" i="1"/>
  <c r="D40" i="17"/>
  <c r="C29" i="1" s="1"/>
  <c r="M40" i="17"/>
  <c r="H40" i="17"/>
  <c r="G40" i="17"/>
  <c r="H29" i="1" l="1"/>
  <c r="N40" i="17"/>
  <c r="M41" i="17"/>
  <c r="D41" i="17"/>
  <c r="C41" i="17"/>
  <c r="G41" i="17"/>
  <c r="H41" i="17"/>
  <c r="N41" i="17" l="1"/>
  <c r="G42" i="17" s="1"/>
  <c r="K42" i="17"/>
  <c r="H32" i="1" s="1"/>
  <c r="O33" i="17" l="1"/>
  <c r="O41" i="17"/>
  <c r="O39" i="17"/>
  <c r="L34" i="17"/>
  <c r="L28" i="17"/>
  <c r="O35" i="17"/>
  <c r="L39" i="17"/>
  <c r="L30" i="17"/>
  <c r="O26" i="17"/>
  <c r="L35" i="17"/>
  <c r="L33" i="17"/>
  <c r="L31" i="17"/>
  <c r="O36" i="17"/>
  <c r="L37" i="17"/>
  <c r="O28" i="17"/>
  <c r="O34" i="17"/>
  <c r="L32" i="17"/>
  <c r="O27" i="17"/>
  <c r="O37" i="17"/>
  <c r="L38" i="17"/>
  <c r="L36" i="17"/>
  <c r="O38" i="17"/>
  <c r="O30" i="17"/>
  <c r="L29" i="17"/>
  <c r="L26" i="17"/>
  <c r="O40" i="17"/>
  <c r="O29" i="17"/>
  <c r="G43" i="17"/>
  <c r="H30" i="1"/>
  <c r="O32" i="17"/>
  <c r="O31" i="17"/>
  <c r="L40" i="17"/>
  <c r="L41" i="17"/>
  <c r="L27" i="17"/>
</calcChain>
</file>

<file path=xl/sharedStrings.xml><?xml version="1.0" encoding="utf-8"?>
<sst xmlns="http://schemas.openxmlformats.org/spreadsheetml/2006/main" count="81" uniqueCount="76">
  <si>
    <t>RESULTADOS OBTENIDOS:</t>
  </si>
  <si>
    <t>LABORATORIO</t>
  </si>
  <si>
    <t>OBRA</t>
  </si>
  <si>
    <t>VALORACIÓN</t>
  </si>
  <si>
    <t>D máx. g/cm3</t>
  </si>
  <si>
    <t>H ópt. %</t>
  </si>
  <si>
    <t>H "in situ" %</t>
  </si>
  <si>
    <t>MEDIA LOTE</t>
  </si>
  <si>
    <t>COEFICIENTE DE VARIACIÓN, V%</t>
  </si>
  <si>
    <t>Los resultados de este Informe sólo afectan al material sometido a ensayo</t>
  </si>
  <si>
    <t>Narón (A Coruña),</t>
  </si>
  <si>
    <t xml:space="preserve"> - Los resultados de este Informe sólo afectan al material sometido a ensayo</t>
  </si>
  <si>
    <t xml:space="preserve"> - Este Informe no deberá reproducirse sin la aprobación de CYE CONTROL Y ESTUDIOS, S.L.</t>
  </si>
  <si>
    <t>DESTINATARIOS DEL INFORME:</t>
  </si>
  <si>
    <t>Página -1/1-</t>
  </si>
  <si>
    <t>Fecha entrada (ensayo)</t>
  </si>
  <si>
    <t>Fecha informe (firma)</t>
  </si>
  <si>
    <t>Tipo</t>
  </si>
  <si>
    <t>Ref Obra</t>
  </si>
  <si>
    <t>Obra</t>
  </si>
  <si>
    <t>mmuestra</t>
  </si>
  <si>
    <t>Orden trabajo</t>
  </si>
  <si>
    <t>Localización</t>
  </si>
  <si>
    <t>Destinatario1</t>
  </si>
  <si>
    <t>Destinatario2</t>
  </si>
  <si>
    <t>Destinatario3</t>
  </si>
  <si>
    <t>Destinatario4</t>
  </si>
  <si>
    <t>Destinatario5</t>
  </si>
  <si>
    <t>D "in situ" g/cm3</t>
  </si>
  <si>
    <t>% Compac-tación</t>
  </si>
  <si>
    <t>Nº de lote</t>
  </si>
  <si>
    <t>Número primer ensayo</t>
  </si>
  <si>
    <t>Número de ensayos</t>
  </si>
  <si>
    <t>Observaciones</t>
  </si>
  <si>
    <t>Escala eje valores Y</t>
  </si>
  <si>
    <t>Máximo</t>
  </si>
  <si>
    <t>Mínimo</t>
  </si>
  <si>
    <t>Ud. Mayor</t>
  </si>
  <si>
    <r>
      <t xml:space="preserve">Haz </t>
    </r>
    <r>
      <rPr>
        <b/>
        <i/>
        <sz val="12"/>
        <color indexed="9"/>
        <rFont val="Arial"/>
        <family val="2"/>
      </rPr>
      <t xml:space="preserve">clic </t>
    </r>
    <r>
      <rPr>
        <b/>
        <i/>
        <sz val="10"/>
        <color indexed="9"/>
        <rFont val="Arial"/>
        <family val="2"/>
      </rPr>
      <t xml:space="preserve">sobre el </t>
    </r>
    <r>
      <rPr>
        <b/>
        <i/>
        <sz val="12"/>
        <color indexed="9"/>
        <rFont val="Arial"/>
        <family val="2"/>
      </rPr>
      <t>gráfico</t>
    </r>
    <r>
      <rPr>
        <b/>
        <i/>
        <sz val="10"/>
        <color indexed="9"/>
        <rFont val="Arial"/>
        <family val="2"/>
      </rPr>
      <t>para ajustar la escala automáticamente</t>
    </r>
  </si>
  <si>
    <t>Coronación</t>
  </si>
  <si>
    <t>Núcleo</t>
  </si>
  <si>
    <t>95% PM</t>
  </si>
  <si>
    <t>98% PM</t>
  </si>
  <si>
    <t>100% PM</t>
  </si>
  <si>
    <t>100% PN</t>
  </si>
  <si>
    <t>95% PN</t>
  </si>
  <si>
    <t>Otra</t>
  </si>
  <si>
    <t>Media?</t>
  </si>
  <si>
    <t>Explanada Mejorada</t>
  </si>
  <si>
    <t>Capa de Forma</t>
  </si>
  <si>
    <t xml:space="preserve"> Subbalasto</t>
  </si>
  <si>
    <t>Fecha de ensayo:</t>
  </si>
  <si>
    <t>Humedad Óptima (%)</t>
  </si>
  <si>
    <t>Humedad "in situ" (%)</t>
  </si>
  <si>
    <t>Suelo-Cemento</t>
  </si>
  <si>
    <t>S-EST 3</t>
  </si>
  <si>
    <t>S-EST 2</t>
  </si>
  <si>
    <t>S-EST 1</t>
  </si>
  <si>
    <t>PM</t>
  </si>
  <si>
    <r>
      <t>Densidad Máxima (g/cm</t>
    </r>
    <r>
      <rPr>
        <b/>
        <vertAlign val="superscript"/>
        <sz val="8.5"/>
        <rFont val="Arial"/>
        <family val="2"/>
      </rPr>
      <t>3</t>
    </r>
    <r>
      <rPr>
        <b/>
        <sz val="8.5"/>
        <rFont val="Arial"/>
        <family val="2"/>
      </rPr>
      <t>)</t>
    </r>
  </si>
  <si>
    <t>Nº ensayo</t>
  </si>
  <si>
    <t xml:space="preserve">           Fdo.: Gonzalo J. Guzmán                           Fdo.: María Díaz Calvo</t>
  </si>
  <si>
    <t>VºBº EL DIRECTOR DEL LABORATORIO               EL JEFE DE ÁREA VS</t>
  </si>
  <si>
    <t>≥</t>
  </si>
  <si>
    <t>--</t>
  </si>
  <si>
    <t>COEFICIENTE DE VARIACIÓN LOTE, V%</t>
  </si>
  <si>
    <t>INFORME DE ENSAYO DE DENSIDAD Y HUMEDAD "IN SITU" (por isótopos radiactivos ASTM D-6938)</t>
  </si>
  <si>
    <r>
      <t>Densidad "in situ"
(g/cm</t>
    </r>
    <r>
      <rPr>
        <b/>
        <vertAlign val="superscript"/>
        <sz val="8.5"/>
        <rFont val="Arial"/>
        <family val="2"/>
      </rPr>
      <t>3</t>
    </r>
    <r>
      <rPr>
        <b/>
        <sz val="8.5"/>
        <rFont val="Arial"/>
        <family val="2"/>
      </rPr>
      <t>)</t>
    </r>
  </si>
  <si>
    <t>Proctor Modificado</t>
  </si>
  <si>
    <t>CONDICIÓN 3: 60% de los puntos entre las líneas de isosaturación y sobre la curva próctor</t>
  </si>
  <si>
    <r>
      <rPr>
        <b/>
        <sz val="6"/>
        <rFont val="Arial"/>
        <family val="2"/>
      </rPr>
      <t>ESPECIFICACIÓN</t>
    </r>
    <r>
      <rPr>
        <b/>
        <sz val="8.5"/>
        <rFont val="Arial"/>
        <family val="2"/>
      </rPr>
      <t xml:space="preserve">
</t>
    </r>
    <r>
      <rPr>
        <b/>
        <sz val="7.5"/>
        <rFont val="Arial"/>
        <family val="2"/>
      </rPr>
      <t>Art. 330.6.5.4
PG-3</t>
    </r>
  </si>
  <si>
    <t>Compactación (%)</t>
  </si>
  <si>
    <t>Equipo Radiactivo</t>
  </si>
  <si>
    <t>CONDICIÓN 1: % Compactación media del lote obtenida</t>
  </si>
  <si>
    <r>
      <t>CONDICIÓN 2: Ningún valor de densidad de los ensayos del lote d</t>
    </r>
    <r>
      <rPr>
        <b/>
        <vertAlign val="subscript"/>
        <sz val="7.5"/>
        <rFont val="Arial"/>
        <family val="2"/>
      </rPr>
      <t>i</t>
    </r>
    <r>
      <rPr>
        <b/>
        <sz val="7.5"/>
        <rFont val="Calibri"/>
        <family val="2"/>
      </rPr>
      <t>&lt;</t>
    </r>
    <r>
      <rPr>
        <b/>
        <sz val="7.5"/>
        <rFont val="Arial"/>
        <family val="2"/>
      </rPr>
      <t>d</t>
    </r>
    <r>
      <rPr>
        <b/>
        <vertAlign val="subscript"/>
        <sz val="7.5"/>
        <rFont val="Arial"/>
        <family val="2"/>
      </rPr>
      <t>especificada</t>
    </r>
    <r>
      <rPr>
        <b/>
        <sz val="7.5"/>
        <rFont val="Arial"/>
        <family val="2"/>
      </rPr>
      <t xml:space="preserve"> - 0,03 g/cm</t>
    </r>
    <r>
      <rPr>
        <b/>
        <vertAlign val="superscript"/>
        <sz val="7.5"/>
        <rFont val="Arial"/>
        <family val="2"/>
      </rPr>
      <t>3</t>
    </r>
    <r>
      <rPr>
        <b/>
        <sz val="7.5"/>
        <rFont val="Arial"/>
        <family val="2"/>
      </rPr>
      <t>, Valor de densidad mínima (g/cm</t>
    </r>
    <r>
      <rPr>
        <b/>
        <vertAlign val="superscript"/>
        <sz val="7.5"/>
        <rFont val="Arial"/>
        <family val="2"/>
      </rPr>
      <t>3</t>
    </r>
    <r>
      <rPr>
        <b/>
        <sz val="7.5"/>
        <rFont val="Arial"/>
        <family val="2"/>
      </rPr>
      <t>)</t>
    </r>
  </si>
  <si>
    <t>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</si>
</sst>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9" formatCode="0.000"/>
    <numFmt numFmtId="190" formatCode="0.0"/>
    <numFmt numFmtId="193" formatCode="[$-C0A]d\ &quot;de&quot;\ mmmm\ &quot;de&quot;\ yyyy;@"/>
  </numFmts>
  <fonts count="32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i/>
      <sz val="7"/>
      <name val="Arial"/>
      <family val="2"/>
    </font>
    <font>
      <b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i/>
      <sz val="10"/>
      <color indexed="9"/>
      <name val="Arial"/>
      <family val="2"/>
    </font>
    <font>
      <b/>
      <i/>
      <sz val="12"/>
      <color indexed="9"/>
      <name val="Arial"/>
      <family val="2"/>
    </font>
    <font>
      <sz val="10"/>
      <color indexed="47"/>
      <name val="Arial"/>
      <family val="2"/>
    </font>
    <font>
      <sz val="10"/>
      <color indexed="9"/>
      <name val="Arial"/>
      <family val="2"/>
    </font>
    <font>
      <sz val="10"/>
      <color indexed="10"/>
      <name val="Arial"/>
      <family val="2"/>
    </font>
    <font>
      <b/>
      <sz val="9.5"/>
      <name val="Arial"/>
      <family val="2"/>
    </font>
    <font>
      <b/>
      <sz val="8.5"/>
      <name val="Arial"/>
      <family val="2"/>
    </font>
    <font>
      <b/>
      <vertAlign val="superscript"/>
      <sz val="8.5"/>
      <name val="Arial"/>
      <family val="2"/>
    </font>
    <font>
      <b/>
      <sz val="8.5"/>
      <name val="Arial"/>
      <family val="2"/>
    </font>
    <font>
      <sz val="8.5"/>
      <name val="Arial"/>
      <family val="2"/>
    </font>
    <font>
      <b/>
      <sz val="6"/>
      <name val="Arial"/>
      <family val="2"/>
    </font>
    <font>
      <b/>
      <sz val="7.5"/>
      <name val="Arial"/>
      <family val="2"/>
    </font>
    <font>
      <b/>
      <sz val="11"/>
      <name val="Calibri"/>
      <family val="2"/>
    </font>
    <font>
      <b/>
      <vertAlign val="subscript"/>
      <sz val="7.5"/>
      <name val="Arial"/>
      <family val="2"/>
    </font>
    <font>
      <b/>
      <vertAlign val="superscript"/>
      <sz val="7.5"/>
      <name val="Arial"/>
      <family val="2"/>
    </font>
    <font>
      <b/>
      <sz val="7"/>
      <name val="Arial"/>
      <family val="2"/>
    </font>
    <font>
      <b/>
      <sz val="7.5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color theme="0" tint="-0.1499984740745262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</fills>
  <borders count="90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0" fillId="0" borderId="0" xfId="0" applyProtection="1"/>
    <xf numFmtId="0" fontId="1" fillId="0" borderId="0" xfId="0" applyFont="1" applyBorder="1" applyProtection="1"/>
    <xf numFmtId="0" fontId="0" fillId="0" borderId="0" xfId="0" quotePrefix="1" applyBorder="1" applyAlignment="1" applyProtection="1">
      <alignment horizontal="left"/>
    </xf>
    <xf numFmtId="0" fontId="0" fillId="0" borderId="0" xfId="0" applyBorder="1" applyProtection="1"/>
    <xf numFmtId="0" fontId="6" fillId="0" borderId="0" xfId="0" applyFont="1" applyBorder="1" applyProtection="1"/>
    <xf numFmtId="14" fontId="0" fillId="0" borderId="0" xfId="0" applyNumberFormat="1" applyFill="1" applyAlignment="1" applyProtection="1">
      <alignment horizontal="left"/>
    </xf>
    <xf numFmtId="0" fontId="8" fillId="0" borderId="0" xfId="0" applyFont="1" applyAlignment="1" applyProtection="1">
      <alignment horizontal="centerContinuous"/>
    </xf>
    <xf numFmtId="0" fontId="0" fillId="0" borderId="0" xfId="0" applyAlignment="1" applyProtection="1">
      <alignment horizontal="centerContinuous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9" fillId="0" borderId="0" xfId="0" applyFont="1" applyAlignment="1" applyProtection="1">
      <alignment horizontal="left"/>
    </xf>
    <xf numFmtId="0" fontId="11" fillId="0" borderId="0" xfId="0" applyFont="1" applyAlignment="1" applyProtection="1">
      <alignment horizontal="right"/>
    </xf>
    <xf numFmtId="0" fontId="2" fillId="0" borderId="0" xfId="0" applyFont="1" applyProtection="1"/>
    <xf numFmtId="0" fontId="5" fillId="0" borderId="1" xfId="0" applyFont="1" applyFill="1" applyBorder="1" applyAlignment="1" applyProtection="1">
      <alignment horizontal="right"/>
    </xf>
    <xf numFmtId="0" fontId="1" fillId="2" borderId="2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" fillId="2" borderId="4" xfId="0" quotePrefix="1" applyFont="1" applyFill="1" applyBorder="1" applyAlignment="1" applyProtection="1">
      <alignment horizontal="center" vertical="center" wrapText="1"/>
    </xf>
    <xf numFmtId="0" fontId="2" fillId="0" borderId="5" xfId="0" applyFont="1" applyFill="1" applyBorder="1" applyAlignment="1" applyProtection="1">
      <alignment horizontal="center"/>
    </xf>
    <xf numFmtId="0" fontId="2" fillId="0" borderId="6" xfId="0" applyFont="1" applyFill="1" applyBorder="1" applyAlignment="1" applyProtection="1">
      <alignment horizontal="center"/>
    </xf>
    <xf numFmtId="2" fontId="2" fillId="0" borderId="7" xfId="0" applyNumberFormat="1" applyFont="1" applyFill="1" applyBorder="1" applyAlignment="1" applyProtection="1">
      <alignment horizontal="center"/>
    </xf>
    <xf numFmtId="0" fontId="2" fillId="0" borderId="0" xfId="0" applyFont="1" applyFill="1" applyBorder="1" applyProtection="1"/>
    <xf numFmtId="14" fontId="2" fillId="3" borderId="0" xfId="0" applyNumberFormat="1" applyFont="1" applyFill="1" applyBorder="1" applyAlignment="1" applyProtection="1">
      <alignment horizontal="left" indent="1"/>
      <protection locked="0"/>
    </xf>
    <xf numFmtId="0" fontId="0" fillId="3" borderId="0" xfId="0" applyFill="1" applyBorder="1" applyAlignment="1" applyProtection="1"/>
    <xf numFmtId="14" fontId="2" fillId="3" borderId="0" xfId="0" applyNumberFormat="1" applyFont="1" applyFill="1" applyBorder="1" applyAlignment="1" applyProtection="1">
      <alignment horizontal="left"/>
    </xf>
    <xf numFmtId="0" fontId="2" fillId="3" borderId="0" xfId="0" applyFont="1" applyFill="1" applyBorder="1" applyAlignment="1" applyProtection="1">
      <alignment horizontal="left"/>
    </xf>
    <xf numFmtId="0" fontId="0" fillId="3" borderId="1" xfId="0" applyFill="1" applyBorder="1" applyAlignment="1" applyProtection="1"/>
    <xf numFmtId="0" fontId="0" fillId="3" borderId="8" xfId="0" applyFill="1" applyBorder="1" applyAlignment="1" applyProtection="1"/>
    <xf numFmtId="14" fontId="2" fillId="3" borderId="1" xfId="0" applyNumberFormat="1" applyFont="1" applyFill="1" applyBorder="1" applyAlignment="1" applyProtection="1">
      <alignment horizontal="left" indent="1"/>
      <protection locked="0"/>
    </xf>
    <xf numFmtId="14" fontId="2" fillId="3" borderId="0" xfId="0" applyNumberFormat="1" applyFont="1" applyFill="1" applyBorder="1" applyAlignment="1" applyProtection="1">
      <alignment horizontal="left" indent="1" shrinkToFit="1"/>
    </xf>
    <xf numFmtId="0" fontId="0" fillId="4" borderId="0" xfId="0" applyFill="1" applyBorder="1" applyAlignment="1" applyProtection="1"/>
    <xf numFmtId="190" fontId="2" fillId="0" borderId="0" xfId="0" applyNumberFormat="1" applyFont="1" applyProtection="1"/>
    <xf numFmtId="189" fontId="7" fillId="0" borderId="7" xfId="0" applyNumberFormat="1" applyFont="1" applyBorder="1" applyAlignment="1" applyProtection="1">
      <alignment horizontal="center"/>
      <protection locked="0"/>
    </xf>
    <xf numFmtId="0" fontId="14" fillId="3" borderId="0" xfId="0" applyFont="1" applyFill="1" applyBorder="1" applyAlignment="1" applyProtection="1">
      <alignment horizontal="left"/>
    </xf>
    <xf numFmtId="0" fontId="1" fillId="2" borderId="9" xfId="0" applyFont="1" applyFill="1" applyBorder="1" applyAlignment="1" applyProtection="1">
      <alignment horizontal="centerContinuous"/>
    </xf>
    <xf numFmtId="0" fontId="1" fillId="2" borderId="10" xfId="0" applyFont="1" applyFill="1" applyBorder="1" applyAlignment="1" applyProtection="1">
      <alignment horizontal="center" vertical="center" wrapText="1"/>
    </xf>
    <xf numFmtId="2" fontId="2" fillId="0" borderId="11" xfId="0" applyNumberFormat="1" applyFont="1" applyFill="1" applyBorder="1" applyAlignment="1" applyProtection="1">
      <alignment horizontal="center"/>
    </xf>
    <xf numFmtId="2" fontId="2" fillId="0" borderId="8" xfId="0" applyNumberFormat="1" applyFont="1" applyFill="1" applyBorder="1" applyAlignment="1" applyProtection="1">
      <alignment horizontal="center"/>
    </xf>
    <xf numFmtId="189" fontId="7" fillId="0" borderId="7" xfId="0" applyNumberFormat="1" applyFont="1" applyFill="1" applyBorder="1" applyAlignment="1" applyProtection="1">
      <alignment horizontal="center"/>
      <protection locked="0"/>
    </xf>
    <xf numFmtId="189" fontId="7" fillId="0" borderId="12" xfId="0" applyNumberFormat="1" applyFont="1" applyBorder="1" applyAlignment="1" applyProtection="1">
      <alignment horizontal="center"/>
      <protection locked="0"/>
    </xf>
    <xf numFmtId="190" fontId="2" fillId="0" borderId="13" xfId="0" applyNumberFormat="1" applyFont="1" applyFill="1" applyBorder="1" applyAlignment="1" applyProtection="1">
      <alignment horizontal="center"/>
    </xf>
    <xf numFmtId="0" fontId="2" fillId="3" borderId="0" xfId="0" applyNumberFormat="1" applyFont="1" applyFill="1" applyBorder="1" applyAlignment="1" applyProtection="1">
      <alignment horizontal="left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190" fontId="2" fillId="0" borderId="15" xfId="0" applyNumberFormat="1" applyFont="1" applyFill="1" applyBorder="1" applyAlignment="1" applyProtection="1">
      <alignment horizontal="center"/>
    </xf>
    <xf numFmtId="0" fontId="0" fillId="0" borderId="0" xfId="0" applyAlignment="1" applyProtection="1">
      <alignment horizontal="right"/>
    </xf>
    <xf numFmtId="2" fontId="2" fillId="0" borderId="0" xfId="0" applyNumberFormat="1" applyFont="1" applyProtection="1">
      <protection locked="0"/>
    </xf>
    <xf numFmtId="2" fontId="2" fillId="0" borderId="16" xfId="0" applyNumberFormat="1" applyFont="1" applyFill="1" applyBorder="1" applyAlignment="1" applyProtection="1">
      <alignment horizontal="center"/>
    </xf>
    <xf numFmtId="2" fontId="2" fillId="0" borderId="0" xfId="0" applyNumberFormat="1" applyFont="1" applyFill="1" applyBorder="1" applyAlignment="1" applyProtection="1">
      <alignment horizontal="center"/>
    </xf>
    <xf numFmtId="190" fontId="2" fillId="0" borderId="17" xfId="0" applyNumberFormat="1" applyFont="1" applyFill="1" applyBorder="1" applyAlignment="1" applyProtection="1">
      <alignment horizontal="center"/>
    </xf>
    <xf numFmtId="190" fontId="2" fillId="0" borderId="18" xfId="0" applyNumberFormat="1" applyFont="1" applyFill="1" applyBorder="1" applyAlignment="1" applyProtection="1">
      <alignment horizontal="center"/>
    </xf>
    <xf numFmtId="2" fontId="15" fillId="0" borderId="0" xfId="0" applyNumberFormat="1" applyFont="1" applyProtection="1">
      <protection locked="0"/>
    </xf>
    <xf numFmtId="0" fontId="1" fillId="2" borderId="19" xfId="0" applyFont="1" applyFill="1" applyBorder="1" applyAlignment="1" applyProtection="1">
      <alignment horizontal="center" vertical="center" wrapText="1"/>
    </xf>
    <xf numFmtId="0" fontId="2" fillId="0" borderId="20" xfId="0" applyFont="1" applyFill="1" applyBorder="1" applyAlignment="1" applyProtection="1">
      <alignment horizontal="center" shrinkToFit="1"/>
    </xf>
    <xf numFmtId="0" fontId="2" fillId="0" borderId="21" xfId="0" applyFont="1" applyFill="1" applyBorder="1" applyAlignment="1" applyProtection="1">
      <alignment horizontal="center" shrinkToFit="1"/>
    </xf>
    <xf numFmtId="0" fontId="2" fillId="0" borderId="22" xfId="0" applyFont="1" applyFill="1" applyBorder="1" applyAlignment="1" applyProtection="1">
      <alignment horizontal="center" shrinkToFit="1"/>
    </xf>
    <xf numFmtId="0" fontId="2" fillId="0" borderId="6" xfId="0" applyFont="1" applyFill="1" applyBorder="1" applyAlignment="1" applyProtection="1">
      <alignment horizontal="center" shrinkToFit="1"/>
    </xf>
    <xf numFmtId="0" fontId="14" fillId="3" borderId="0" xfId="0" applyNumberFormat="1" applyFont="1" applyFill="1" applyBorder="1" applyAlignment="1" applyProtection="1">
      <alignment horizontal="left"/>
    </xf>
    <xf numFmtId="0" fontId="16" fillId="0" borderId="0" xfId="0" applyFont="1" applyProtection="1">
      <protection locked="0"/>
    </xf>
    <xf numFmtId="1" fontId="2" fillId="0" borderId="17" xfId="0" applyNumberFormat="1" applyFont="1" applyFill="1" applyBorder="1" applyAlignment="1" applyProtection="1">
      <alignment horizontal="center"/>
      <protection locked="0"/>
    </xf>
    <xf numFmtId="1" fontId="2" fillId="0" borderId="15" xfId="0" applyNumberFormat="1" applyFont="1" applyFill="1" applyBorder="1" applyAlignment="1" applyProtection="1">
      <alignment horizontal="center"/>
      <protection locked="0"/>
    </xf>
    <xf numFmtId="1" fontId="2" fillId="0" borderId="23" xfId="0" applyNumberFormat="1" applyFont="1" applyFill="1" applyBorder="1" applyAlignment="1" applyProtection="1">
      <alignment horizontal="center"/>
      <protection locked="0"/>
    </xf>
    <xf numFmtId="1" fontId="2" fillId="0" borderId="24" xfId="0" applyNumberFormat="1" applyFont="1" applyFill="1" applyBorder="1" applyAlignment="1" applyProtection="1">
      <alignment horizontal="center"/>
      <protection locked="0"/>
    </xf>
    <xf numFmtId="1" fontId="2" fillId="0" borderId="18" xfId="0" applyNumberFormat="1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</xf>
    <xf numFmtId="190" fontId="16" fillId="0" borderId="0" xfId="0" applyNumberFormat="1" applyFont="1" applyProtection="1"/>
    <xf numFmtId="0" fontId="16" fillId="0" borderId="0" xfId="0" applyFont="1" applyProtection="1"/>
    <xf numFmtId="189" fontId="1" fillId="2" borderId="25" xfId="0" applyNumberFormat="1" applyFont="1" applyFill="1" applyBorder="1" applyAlignment="1" applyProtection="1">
      <alignment horizontal="center" vertical="center"/>
    </xf>
    <xf numFmtId="2" fontId="1" fillId="2" borderId="26" xfId="0" quotePrefix="1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 applyProtection="1"/>
    <xf numFmtId="0" fontId="0" fillId="0" borderId="0" xfId="0" applyAlignment="1" applyProtection="1"/>
    <xf numFmtId="0" fontId="10" fillId="0" borderId="0" xfId="0" applyFont="1" applyAlignment="1" applyProtection="1"/>
    <xf numFmtId="0" fontId="0" fillId="0" borderId="27" xfId="0" applyBorder="1" applyProtection="1"/>
    <xf numFmtId="0" fontId="5" fillId="4" borderId="28" xfId="0" quotePrefix="1" applyFont="1" applyFill="1" applyBorder="1" applyAlignment="1" applyProtection="1">
      <alignment horizontal="left"/>
    </xf>
    <xf numFmtId="0" fontId="5" fillId="4" borderId="0" xfId="0" quotePrefix="1" applyFont="1" applyFill="1" applyBorder="1" applyAlignment="1" applyProtection="1">
      <alignment horizontal="center"/>
    </xf>
    <xf numFmtId="0" fontId="5" fillId="4" borderId="0" xfId="0" applyFont="1" applyFill="1" applyBorder="1" applyAlignment="1" applyProtection="1">
      <alignment horizontal="left"/>
    </xf>
    <xf numFmtId="0" fontId="5" fillId="4" borderId="28" xfId="0" applyFont="1" applyFill="1" applyBorder="1" applyProtection="1"/>
    <xf numFmtId="0" fontId="5" fillId="4" borderId="0" xfId="0" applyFont="1" applyFill="1" applyBorder="1" applyProtection="1"/>
    <xf numFmtId="0" fontId="5" fillId="4" borderId="29" xfId="0" applyFont="1" applyFill="1" applyBorder="1" applyProtection="1"/>
    <xf numFmtId="0" fontId="5" fillId="4" borderId="10" xfId="0" applyFont="1" applyFill="1" applyBorder="1" applyProtection="1"/>
    <xf numFmtId="0" fontId="5" fillId="4" borderId="10" xfId="0" quotePrefix="1" applyFont="1" applyFill="1" applyBorder="1" applyAlignment="1" applyProtection="1">
      <alignment horizontal="left"/>
    </xf>
    <xf numFmtId="0" fontId="5" fillId="0" borderId="0" xfId="0" applyFont="1" applyProtection="1"/>
    <xf numFmtId="0" fontId="6" fillId="0" borderId="0" xfId="0" quotePrefix="1" applyFont="1" applyBorder="1" applyAlignment="1" applyProtection="1">
      <alignment horizontal="left" wrapText="1"/>
    </xf>
    <xf numFmtId="0" fontId="5" fillId="0" borderId="0" xfId="0" applyFont="1" applyBorder="1" applyProtection="1"/>
    <xf numFmtId="0" fontId="5" fillId="4" borderId="30" xfId="0" applyFont="1" applyFill="1" applyBorder="1" applyAlignment="1" applyProtection="1">
      <alignment horizontal="center"/>
    </xf>
    <xf numFmtId="0" fontId="5" fillId="4" borderId="30" xfId="0" applyFont="1" applyFill="1" applyBorder="1" applyProtection="1"/>
    <xf numFmtId="0" fontId="5" fillId="4" borderId="31" xfId="0" quotePrefix="1" applyFont="1" applyFill="1" applyBorder="1" applyAlignment="1" applyProtection="1">
      <alignment horizontal="left"/>
    </xf>
    <xf numFmtId="14" fontId="7" fillId="0" borderId="0" xfId="0" applyNumberFormat="1" applyFont="1" applyFill="1" applyAlignment="1" applyProtection="1">
      <alignment horizontal="center"/>
    </xf>
    <xf numFmtId="190" fontId="5" fillId="0" borderId="0" xfId="0" applyNumberFormat="1" applyFont="1" applyBorder="1" applyAlignment="1" applyProtection="1"/>
    <xf numFmtId="0" fontId="1" fillId="2" borderId="32" xfId="0" applyFont="1" applyFill="1" applyBorder="1" applyAlignment="1" applyProtection="1">
      <alignment horizontal="centerContinuous"/>
    </xf>
    <xf numFmtId="0" fontId="1" fillId="2" borderId="33" xfId="0" applyFont="1" applyFill="1" applyBorder="1" applyAlignment="1" applyProtection="1">
      <alignment horizontal="centerContinuous"/>
    </xf>
    <xf numFmtId="0" fontId="2" fillId="0" borderId="4" xfId="0" applyFont="1" applyBorder="1" applyProtection="1"/>
    <xf numFmtId="0" fontId="1" fillId="2" borderId="10" xfId="0" applyFont="1" applyFill="1" applyBorder="1" applyAlignment="1" applyProtection="1">
      <alignment horizontal="centerContinuous"/>
    </xf>
    <xf numFmtId="189" fontId="2" fillId="0" borderId="4" xfId="0" applyNumberFormat="1" applyFont="1" applyBorder="1" applyProtection="1"/>
    <xf numFmtId="0" fontId="27" fillId="2" borderId="10" xfId="0" applyFont="1" applyFill="1" applyBorder="1" applyAlignment="1" applyProtection="1">
      <alignment horizontal="center" vertical="center" wrapText="1"/>
    </xf>
    <xf numFmtId="189" fontId="2" fillId="0" borderId="34" xfId="0" applyNumberFormat="1" applyFont="1" applyFill="1" applyBorder="1" applyAlignment="1" applyProtection="1">
      <alignment horizontal="center"/>
    </xf>
    <xf numFmtId="189" fontId="2" fillId="0" borderId="7" xfId="0" applyNumberFormat="1" applyFont="1" applyFill="1" applyBorder="1" applyAlignment="1" applyProtection="1">
      <alignment horizontal="center"/>
    </xf>
    <xf numFmtId="189" fontId="2" fillId="0" borderId="35" xfId="0" applyNumberFormat="1" applyFont="1" applyFill="1" applyBorder="1" applyAlignment="1" applyProtection="1">
      <alignment horizontal="center"/>
    </xf>
    <xf numFmtId="189" fontId="2" fillId="0" borderId="21" xfId="0" applyNumberFormat="1" applyFont="1" applyFill="1" applyBorder="1" applyAlignment="1" applyProtection="1">
      <alignment horizontal="center"/>
    </xf>
    <xf numFmtId="2" fontId="2" fillId="0" borderId="36" xfId="0" applyNumberFormat="1" applyFont="1" applyFill="1" applyBorder="1" applyAlignment="1" applyProtection="1">
      <alignment horizontal="center"/>
      <protection locked="0"/>
    </xf>
    <xf numFmtId="2" fontId="7" fillId="0" borderId="37" xfId="0" applyNumberFormat="1" applyFont="1" applyBorder="1" applyAlignment="1" applyProtection="1">
      <alignment horizontal="center"/>
      <protection locked="0"/>
    </xf>
    <xf numFmtId="2" fontId="7" fillId="0" borderId="38" xfId="0" applyNumberFormat="1" applyFont="1" applyBorder="1" applyAlignment="1" applyProtection="1">
      <alignment horizontal="center"/>
      <protection locked="0"/>
    </xf>
    <xf numFmtId="2" fontId="7" fillId="0" borderId="39" xfId="0" applyNumberFormat="1" applyFont="1" applyBorder="1" applyAlignment="1" applyProtection="1">
      <alignment horizontal="center"/>
      <protection locked="0"/>
    </xf>
    <xf numFmtId="2" fontId="7" fillId="0" borderId="40" xfId="0" applyNumberFormat="1" applyFont="1" applyBorder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2" fontId="7" fillId="0" borderId="15" xfId="0" applyNumberFormat="1" applyFont="1" applyBorder="1" applyAlignment="1" applyProtection="1">
      <alignment horizontal="center"/>
      <protection locked="0"/>
    </xf>
    <xf numFmtId="2" fontId="7" fillId="0" borderId="15" xfId="0" applyNumberFormat="1" applyFont="1" applyFill="1" applyBorder="1" applyAlignment="1" applyProtection="1">
      <alignment horizontal="center"/>
      <protection locked="0"/>
    </xf>
    <xf numFmtId="2" fontId="2" fillId="0" borderId="41" xfId="0" applyNumberFormat="1" applyFont="1" applyFill="1" applyBorder="1" applyAlignment="1" applyProtection="1">
      <alignment horizontal="center"/>
      <protection locked="0"/>
    </xf>
    <xf numFmtId="2" fontId="2" fillId="0" borderId="42" xfId="0" applyNumberFormat="1" applyFont="1" applyFill="1" applyBorder="1" applyAlignment="1" applyProtection="1">
      <alignment horizontal="center"/>
      <protection locked="0"/>
    </xf>
    <xf numFmtId="2" fontId="2" fillId="0" borderId="43" xfId="0" applyNumberFormat="1" applyFont="1" applyFill="1" applyBorder="1" applyAlignment="1" applyProtection="1">
      <alignment horizontal="center"/>
      <protection locked="0"/>
    </xf>
    <xf numFmtId="190" fontId="1" fillId="2" borderId="44" xfId="0" applyNumberFormat="1" applyFont="1" applyFill="1" applyBorder="1" applyAlignment="1" applyProtection="1">
      <alignment vertical="center"/>
    </xf>
    <xf numFmtId="190" fontId="1" fillId="2" borderId="9" xfId="0" applyNumberFormat="1" applyFont="1" applyFill="1" applyBorder="1" applyAlignment="1" applyProtection="1">
      <alignment vertical="center"/>
    </xf>
    <xf numFmtId="190" fontId="1" fillId="2" borderId="45" xfId="0" applyNumberFormat="1" applyFont="1" applyFill="1" applyBorder="1" applyAlignment="1" applyProtection="1">
      <alignment vertical="center"/>
    </xf>
    <xf numFmtId="190" fontId="2" fillId="0" borderId="4" xfId="0" applyNumberFormat="1" applyFont="1" applyBorder="1" applyProtection="1"/>
    <xf numFmtId="0" fontId="21" fillId="0" borderId="46" xfId="0" applyFont="1" applyBorder="1" applyAlignment="1" applyProtection="1">
      <alignment horizontal="center"/>
    </xf>
    <xf numFmtId="2" fontId="21" fillId="0" borderId="47" xfId="0" applyNumberFormat="1" applyFont="1" applyBorder="1" applyAlignment="1" applyProtection="1">
      <alignment horizontal="center"/>
    </xf>
    <xf numFmtId="190" fontId="21" fillId="0" borderId="48" xfId="0" applyNumberFormat="1" applyFont="1" applyBorder="1" applyAlignment="1" applyProtection="1">
      <alignment horizontal="center"/>
    </xf>
    <xf numFmtId="0" fontId="21" fillId="0" borderId="49" xfId="0" applyFont="1" applyBorder="1" applyAlignment="1" applyProtection="1">
      <alignment horizontal="center"/>
    </xf>
    <xf numFmtId="2" fontId="21" fillId="0" borderId="7" xfId="0" applyNumberFormat="1" applyFont="1" applyBorder="1" applyAlignment="1" applyProtection="1">
      <alignment horizontal="center"/>
    </xf>
    <xf numFmtId="190" fontId="21" fillId="0" borderId="13" xfId="0" applyNumberFormat="1" applyFont="1" applyBorder="1" applyAlignment="1" applyProtection="1">
      <alignment horizontal="center"/>
    </xf>
    <xf numFmtId="1" fontId="16" fillId="0" borderId="0" xfId="0" applyNumberFormat="1" applyFont="1" applyProtection="1"/>
    <xf numFmtId="2" fontId="2" fillId="0" borderId="0" xfId="0" applyNumberFormat="1" applyFont="1" applyProtection="1"/>
    <xf numFmtId="0" fontId="24" fillId="4" borderId="50" xfId="0" applyFont="1" applyFill="1" applyBorder="1" applyAlignment="1" applyProtection="1">
      <alignment horizontal="right" vertical="center"/>
    </xf>
    <xf numFmtId="0" fontId="24" fillId="4" borderId="51" xfId="0" applyFont="1" applyFill="1" applyBorder="1" applyAlignment="1" applyProtection="1">
      <alignment horizontal="right" vertical="center"/>
    </xf>
    <xf numFmtId="0" fontId="20" fillId="4" borderId="0" xfId="0" applyFont="1" applyFill="1" applyBorder="1" applyAlignment="1" applyProtection="1">
      <alignment vertical="center" wrapText="1"/>
    </xf>
    <xf numFmtId="0" fontId="21" fillId="0" borderId="52" xfId="0" applyFont="1" applyBorder="1" applyAlignment="1" applyProtection="1">
      <alignment horizontal="center"/>
    </xf>
    <xf numFmtId="2" fontId="21" fillId="0" borderId="53" xfId="0" applyNumberFormat="1" applyFont="1" applyBorder="1" applyAlignment="1" applyProtection="1">
      <alignment horizontal="center"/>
    </xf>
    <xf numFmtId="190" fontId="21" fillId="0" borderId="54" xfId="0" applyNumberFormat="1" applyFont="1" applyBorder="1" applyAlignment="1" applyProtection="1">
      <alignment horizontal="center"/>
    </xf>
    <xf numFmtId="0" fontId="3" fillId="0" borderId="0" xfId="0" applyNumberFormat="1" applyFont="1" applyAlignment="1" applyProtection="1">
      <alignment horizontal="left"/>
    </xf>
    <xf numFmtId="190" fontId="21" fillId="0" borderId="55" xfId="0" applyNumberFormat="1" applyFont="1" applyBorder="1" applyAlignment="1" applyProtection="1">
      <alignment horizontal="center"/>
    </xf>
    <xf numFmtId="190" fontId="21" fillId="0" borderId="41" xfId="0" applyNumberFormat="1" applyFont="1" applyBorder="1" applyAlignment="1" applyProtection="1">
      <alignment horizontal="center"/>
    </xf>
    <xf numFmtId="190" fontId="21" fillId="0" borderId="56" xfId="0" applyNumberFormat="1" applyFont="1" applyBorder="1" applyAlignment="1" applyProtection="1">
      <alignment horizontal="center"/>
    </xf>
    <xf numFmtId="190" fontId="31" fillId="0" borderId="0" xfId="0" applyNumberFormat="1" applyFont="1" applyProtection="1"/>
    <xf numFmtId="0" fontId="31" fillId="0" borderId="0" xfId="0" applyFont="1" applyProtection="1"/>
    <xf numFmtId="9" fontId="23" fillId="4" borderId="11" xfId="0" applyNumberFormat="1" applyFont="1" applyFill="1" applyBorder="1" applyAlignment="1" applyProtection="1">
      <alignment horizontal="left" vertical="center"/>
    </xf>
    <xf numFmtId="2" fontId="23" fillId="4" borderId="57" xfId="0" applyNumberFormat="1" applyFont="1" applyFill="1" applyBorder="1" applyAlignment="1" applyProtection="1">
      <alignment horizontal="left" vertical="center"/>
    </xf>
    <xf numFmtId="190" fontId="18" fillId="0" borderId="2" xfId="0" applyNumberFormat="1" applyFont="1" applyFill="1" applyBorder="1" applyAlignment="1" applyProtection="1">
      <alignment horizontal="center" vertical="center"/>
    </xf>
    <xf numFmtId="190" fontId="20" fillId="0" borderId="22" xfId="0" quotePrefix="1" applyNumberFormat="1" applyFont="1" applyFill="1" applyBorder="1" applyAlignment="1" applyProtection="1">
      <alignment horizontal="center" vertical="center"/>
    </xf>
    <xf numFmtId="2" fontId="23" fillId="4" borderId="2" xfId="0" applyNumberFormat="1" applyFont="1" applyFill="1" applyBorder="1" applyAlignment="1" applyProtection="1">
      <alignment horizontal="center" vertical="center"/>
    </xf>
    <xf numFmtId="0" fontId="23" fillId="4" borderId="58" xfId="0" applyFont="1" applyFill="1" applyBorder="1" applyAlignment="1" applyProtection="1">
      <alignment horizontal="center" vertical="center"/>
    </xf>
    <xf numFmtId="0" fontId="23" fillId="4" borderId="59" xfId="0" quotePrefix="1" applyFont="1" applyFill="1" applyBorder="1" applyAlignment="1" applyProtection="1">
      <alignment horizontal="center" vertical="center"/>
    </xf>
    <xf numFmtId="0" fontId="2" fillId="3" borderId="0" xfId="0" applyFont="1" applyFill="1" applyProtection="1">
      <protection locked="0"/>
    </xf>
    <xf numFmtId="49" fontId="29" fillId="3" borderId="0" xfId="0" applyNumberFormat="1" applyFont="1" applyFill="1" applyBorder="1" applyAlignment="1" applyProtection="1">
      <alignment horizontal="left" indent="1"/>
      <protection locked="0"/>
    </xf>
    <xf numFmtId="0" fontId="29" fillId="3" borderId="0" xfId="0" applyNumberFormat="1" applyFont="1" applyFill="1" applyBorder="1" applyAlignment="1" applyProtection="1">
      <alignment horizontal="left" indent="1"/>
      <protection locked="0"/>
    </xf>
    <xf numFmtId="14" fontId="30" fillId="3" borderId="0" xfId="0" applyNumberFormat="1" applyFont="1" applyFill="1" applyBorder="1" applyAlignment="1" applyProtection="1">
      <alignment horizontal="right"/>
    </xf>
    <xf numFmtId="14" fontId="29" fillId="3" borderId="0" xfId="0" applyNumberFormat="1" applyFont="1" applyFill="1" applyBorder="1" applyAlignment="1" applyProtection="1">
      <alignment horizontal="left" indent="1"/>
      <protection locked="0"/>
    </xf>
    <xf numFmtId="14" fontId="29" fillId="3" borderId="0" xfId="0" applyNumberFormat="1" applyFont="1" applyFill="1" applyBorder="1" applyAlignment="1" applyProtection="1">
      <alignment horizontal="left" indent="1" shrinkToFit="1"/>
      <protection locked="0"/>
    </xf>
    <xf numFmtId="17" fontId="30" fillId="3" borderId="0" xfId="0" applyNumberFormat="1" applyFont="1" applyFill="1" applyBorder="1" applyAlignment="1" applyProtection="1">
      <alignment horizontal="left" indent="1"/>
      <protection locked="0"/>
    </xf>
    <xf numFmtId="0" fontId="29" fillId="3" borderId="1" xfId="0" applyNumberFormat="1" applyFont="1" applyFill="1" applyBorder="1" applyAlignment="1" applyProtection="1">
      <alignment horizontal="left" indent="1"/>
      <protection locked="0"/>
    </xf>
    <xf numFmtId="14" fontId="29" fillId="3" borderId="8" xfId="0" applyNumberFormat="1" applyFont="1" applyFill="1" applyBorder="1" applyAlignment="1" applyProtection="1">
      <alignment horizontal="left" indent="1"/>
      <protection locked="0"/>
    </xf>
    <xf numFmtId="0" fontId="29" fillId="3" borderId="8" xfId="0" applyNumberFormat="1" applyFont="1" applyFill="1" applyBorder="1" applyAlignment="1" applyProtection="1">
      <alignment horizontal="left" indent="1" shrinkToFit="1"/>
      <protection locked="0"/>
    </xf>
    <xf numFmtId="0" fontId="29" fillId="3" borderId="0" xfId="0" applyNumberFormat="1" applyFont="1" applyFill="1" applyBorder="1" applyAlignment="1" applyProtection="1">
      <alignment horizontal="left" indent="1" shrinkToFit="1"/>
      <protection locked="0"/>
    </xf>
    <xf numFmtId="0" fontId="29" fillId="4" borderId="0" xfId="0" applyNumberFormat="1" applyFont="1" applyFill="1" applyBorder="1" applyAlignment="1" applyProtection="1">
      <alignment horizontal="left" indent="1" shrinkToFit="1"/>
      <protection locked="0"/>
    </xf>
    <xf numFmtId="190" fontId="29" fillId="3" borderId="60" xfId="0" applyNumberFormat="1" applyFont="1" applyFill="1" applyBorder="1" applyAlignment="1" applyProtection="1">
      <alignment horizontal="center"/>
      <protection locked="0"/>
    </xf>
    <xf numFmtId="2" fontId="29" fillId="3" borderId="34" xfId="0" applyNumberFormat="1" applyFont="1" applyFill="1" applyBorder="1" applyAlignment="1" applyProtection="1">
      <alignment horizontal="center"/>
      <protection locked="0"/>
    </xf>
    <xf numFmtId="189" fontId="2" fillId="0" borderId="47" xfId="0" applyNumberFormat="1" applyFont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</xf>
    <xf numFmtId="0" fontId="12" fillId="5" borderId="0" xfId="0" applyFont="1" applyFill="1" applyAlignment="1" applyProtection="1">
      <alignment horizontal="center"/>
    </xf>
    <xf numFmtId="0" fontId="1" fillId="2" borderId="20" xfId="0" applyFont="1" applyFill="1" applyBorder="1" applyAlignment="1" applyProtection="1">
      <alignment horizontal="center" vertical="center"/>
    </xf>
    <xf numFmtId="0" fontId="1" fillId="2" borderId="61" xfId="0" applyFont="1" applyFill="1" applyBorder="1" applyAlignment="1" applyProtection="1">
      <alignment horizontal="center" vertical="center"/>
    </xf>
    <xf numFmtId="0" fontId="5" fillId="2" borderId="20" xfId="0" applyFont="1" applyFill="1" applyBorder="1" applyAlignment="1" applyProtection="1">
      <alignment horizontal="center" vertical="center" wrapText="1"/>
    </xf>
    <xf numFmtId="0" fontId="1" fillId="2" borderId="61" xfId="0" applyFont="1" applyFill="1" applyBorder="1" applyAlignment="1" applyProtection="1">
      <alignment horizontal="center" vertical="center" wrapText="1"/>
    </xf>
    <xf numFmtId="2" fontId="1" fillId="2" borderId="62" xfId="0" applyNumberFormat="1" applyFont="1" applyFill="1" applyBorder="1" applyAlignment="1" applyProtection="1">
      <alignment horizontal="center" vertical="center"/>
    </xf>
    <xf numFmtId="2" fontId="1" fillId="2" borderId="63" xfId="0" applyNumberFormat="1" applyFont="1" applyFill="1" applyBorder="1" applyAlignment="1" applyProtection="1">
      <alignment horizontal="center" vertical="center"/>
    </xf>
    <xf numFmtId="2" fontId="1" fillId="2" borderId="64" xfId="0" applyNumberFormat="1" applyFont="1" applyFill="1" applyBorder="1" applyAlignment="1" applyProtection="1">
      <alignment horizontal="center" vertical="center"/>
    </xf>
    <xf numFmtId="0" fontId="1" fillId="2" borderId="65" xfId="0" applyFont="1" applyFill="1" applyBorder="1" applyAlignment="1" applyProtection="1">
      <alignment horizontal="right" vertical="center"/>
    </xf>
    <xf numFmtId="0" fontId="1" fillId="2" borderId="9" xfId="0" applyFont="1" applyFill="1" applyBorder="1" applyAlignment="1" applyProtection="1">
      <alignment horizontal="right" vertical="center"/>
    </xf>
    <xf numFmtId="0" fontId="1" fillId="2" borderId="66" xfId="0" applyFont="1" applyFill="1" applyBorder="1" applyAlignment="1" applyProtection="1">
      <alignment horizontal="right" vertical="center"/>
    </xf>
    <xf numFmtId="0" fontId="1" fillId="2" borderId="67" xfId="0" quotePrefix="1" applyFont="1" applyFill="1" applyBorder="1" applyAlignment="1" applyProtection="1">
      <alignment horizontal="right" vertical="center"/>
    </xf>
    <xf numFmtId="0" fontId="1" fillId="2" borderId="68" xfId="0" quotePrefix="1" applyFont="1" applyFill="1" applyBorder="1" applyAlignment="1" applyProtection="1">
      <alignment horizontal="right" vertical="center"/>
    </xf>
    <xf numFmtId="0" fontId="5" fillId="0" borderId="0" xfId="0" applyFont="1" applyFill="1" applyBorder="1" applyAlignment="1" applyProtection="1">
      <alignment horizontal="right"/>
    </xf>
    <xf numFmtId="2" fontId="1" fillId="2" borderId="20" xfId="0" applyNumberFormat="1" applyFont="1" applyFill="1" applyBorder="1" applyAlignment="1" applyProtection="1">
      <alignment horizontal="center" vertical="center"/>
    </xf>
    <xf numFmtId="2" fontId="1" fillId="2" borderId="61" xfId="0" applyNumberFormat="1" applyFont="1" applyFill="1" applyBorder="1" applyAlignment="1" applyProtection="1">
      <alignment horizontal="center" vertical="center"/>
    </xf>
    <xf numFmtId="0" fontId="5" fillId="4" borderId="0" xfId="0" applyFont="1" applyFill="1" applyBorder="1" applyAlignment="1" applyProtection="1">
      <alignment horizontal="right"/>
    </xf>
    <xf numFmtId="0" fontId="5" fillId="0" borderId="0" xfId="0" applyFont="1" applyFill="1" applyBorder="1" applyAlignment="1" applyProtection="1">
      <alignment horizontal="right" vertical="top"/>
    </xf>
    <xf numFmtId="0" fontId="2" fillId="6" borderId="4" xfId="0" applyFont="1" applyFill="1" applyBorder="1" applyAlignment="1" applyProtection="1">
      <alignment horizontal="center"/>
    </xf>
    <xf numFmtId="0" fontId="5" fillId="0" borderId="1" xfId="0" applyFont="1" applyFill="1" applyBorder="1" applyAlignment="1" applyProtection="1">
      <alignment horizontal="right"/>
    </xf>
    <xf numFmtId="0" fontId="5" fillId="0" borderId="8" xfId="0" applyFont="1" applyFill="1" applyBorder="1" applyAlignment="1" applyProtection="1">
      <alignment horizontal="right"/>
    </xf>
    <xf numFmtId="190" fontId="21" fillId="0" borderId="15" xfId="0" applyNumberFormat="1" applyFont="1" applyBorder="1" applyAlignment="1" applyProtection="1">
      <alignment horizontal="center"/>
    </xf>
    <xf numFmtId="190" fontId="21" fillId="0" borderId="13" xfId="0" applyNumberFormat="1" applyFont="1" applyBorder="1" applyAlignment="1" applyProtection="1">
      <alignment horizontal="center"/>
    </xf>
    <xf numFmtId="190" fontId="21" fillId="0" borderId="18" xfId="0" applyNumberFormat="1" applyFont="1" applyBorder="1" applyAlignment="1" applyProtection="1">
      <alignment horizontal="center"/>
    </xf>
    <xf numFmtId="190" fontId="21" fillId="0" borderId="54" xfId="0" applyNumberFormat="1" applyFont="1" applyBorder="1" applyAlignment="1" applyProtection="1">
      <alignment horizontal="center"/>
    </xf>
    <xf numFmtId="190" fontId="21" fillId="0" borderId="7" xfId="0" applyNumberFormat="1" applyFont="1" applyBorder="1" applyAlignment="1" applyProtection="1">
      <alignment horizontal="center"/>
    </xf>
    <xf numFmtId="190" fontId="21" fillId="0" borderId="53" xfId="0" applyNumberFormat="1" applyFont="1" applyBorder="1" applyAlignment="1" applyProtection="1">
      <alignment horizontal="center"/>
    </xf>
    <xf numFmtId="190" fontId="21" fillId="0" borderId="89" xfId="0" applyNumberFormat="1" applyFont="1" applyBorder="1" applyAlignment="1" applyProtection="1">
      <alignment horizontal="center"/>
    </xf>
    <xf numFmtId="190" fontId="21" fillId="0" borderId="48" xfId="0" applyNumberFormat="1" applyFont="1" applyBorder="1" applyAlignment="1" applyProtection="1">
      <alignment horizontal="center"/>
    </xf>
    <xf numFmtId="2" fontId="21" fillId="0" borderId="7" xfId="0" applyNumberFormat="1" applyFont="1" applyBorder="1" applyAlignment="1" applyProtection="1">
      <alignment horizontal="center"/>
    </xf>
    <xf numFmtId="2" fontId="21" fillId="0" borderId="15" xfId="0" applyNumberFormat="1" applyFont="1" applyBorder="1" applyAlignment="1" applyProtection="1">
      <alignment horizontal="center"/>
    </xf>
    <xf numFmtId="0" fontId="20" fillId="0" borderId="67" xfId="0" quotePrefix="1" applyFont="1" applyFill="1" applyBorder="1" applyAlignment="1" applyProtection="1">
      <alignment horizontal="right" vertical="center"/>
    </xf>
    <xf numFmtId="0" fontId="20" fillId="0" borderId="68" xfId="0" quotePrefix="1" applyFont="1" applyFill="1" applyBorder="1" applyAlignment="1" applyProtection="1">
      <alignment horizontal="right" vertical="center"/>
    </xf>
    <xf numFmtId="0" fontId="20" fillId="0" borderId="86" xfId="0" quotePrefix="1" applyFont="1" applyFill="1" applyBorder="1" applyAlignment="1" applyProtection="1">
      <alignment horizontal="right" vertical="center"/>
    </xf>
    <xf numFmtId="0" fontId="23" fillId="4" borderId="79" xfId="0" applyFont="1" applyFill="1" applyBorder="1" applyAlignment="1" applyProtection="1">
      <alignment horizontal="left" vertical="center" wrapText="1"/>
    </xf>
    <xf numFmtId="0" fontId="23" fillId="4" borderId="57" xfId="0" applyFont="1" applyFill="1" applyBorder="1" applyAlignment="1" applyProtection="1">
      <alignment horizontal="left" vertical="center" wrapText="1"/>
    </xf>
    <xf numFmtId="0" fontId="23" fillId="4" borderId="87" xfId="0" applyFont="1" applyFill="1" applyBorder="1" applyAlignment="1" applyProtection="1">
      <alignment horizontal="left" vertical="center" wrapText="1"/>
    </xf>
    <xf numFmtId="0" fontId="18" fillId="0" borderId="65" xfId="0" applyFont="1" applyFill="1" applyBorder="1" applyAlignment="1" applyProtection="1">
      <alignment horizontal="right" vertical="center"/>
    </xf>
    <xf numFmtId="0" fontId="18" fillId="0" borderId="9" xfId="0" applyFont="1" applyFill="1" applyBorder="1" applyAlignment="1" applyProtection="1">
      <alignment horizontal="right" vertical="center"/>
    </xf>
    <xf numFmtId="190" fontId="18" fillId="0" borderId="44" xfId="0" applyNumberFormat="1" applyFont="1" applyFill="1" applyBorder="1" applyAlignment="1" applyProtection="1">
      <alignment horizontal="center" vertical="center"/>
    </xf>
    <xf numFmtId="190" fontId="18" fillId="0" borderId="9" xfId="0" applyNumberFormat="1" applyFont="1" applyFill="1" applyBorder="1" applyAlignment="1" applyProtection="1">
      <alignment horizontal="center" vertical="center"/>
    </xf>
    <xf numFmtId="190" fontId="18" fillId="0" borderId="88" xfId="0" applyNumberFormat="1" applyFont="1" applyFill="1" applyBorder="1" applyAlignment="1" applyProtection="1">
      <alignment horizontal="center" vertical="center"/>
    </xf>
    <xf numFmtId="190" fontId="18" fillId="0" borderId="68" xfId="0" applyNumberFormat="1" applyFont="1" applyFill="1" applyBorder="1" applyAlignment="1" applyProtection="1">
      <alignment horizontal="center" vertical="center"/>
    </xf>
    <xf numFmtId="2" fontId="21" fillId="0" borderId="47" xfId="0" applyNumberFormat="1" applyFont="1" applyBorder="1" applyAlignment="1" applyProtection="1">
      <alignment horizontal="center"/>
    </xf>
    <xf numFmtId="2" fontId="21" fillId="0" borderId="89" xfId="0" applyNumberFormat="1" applyFont="1" applyBorder="1" applyAlignment="1" applyProtection="1">
      <alignment horizontal="center"/>
    </xf>
    <xf numFmtId="0" fontId="23" fillId="4" borderId="67" xfId="0" applyFont="1" applyFill="1" applyBorder="1" applyAlignment="1" applyProtection="1">
      <alignment horizontal="left" vertical="center"/>
    </xf>
    <xf numFmtId="0" fontId="23" fillId="4" borderId="68" xfId="0" applyFont="1" applyFill="1" applyBorder="1" applyAlignment="1" applyProtection="1">
      <alignment horizontal="left" vertical="center"/>
    </xf>
    <xf numFmtId="0" fontId="18" fillId="4" borderId="81" xfId="0" applyFont="1" applyFill="1" applyBorder="1" applyAlignment="1" applyProtection="1">
      <alignment horizontal="center" vertical="center" wrapText="1"/>
    </xf>
    <xf numFmtId="0" fontId="18" fillId="4" borderId="22" xfId="0" applyFont="1" applyFill="1" applyBorder="1" applyAlignment="1" applyProtection="1">
      <alignment horizontal="center" vertical="center" wrapText="1"/>
    </xf>
    <xf numFmtId="0" fontId="18" fillId="4" borderId="61" xfId="0" applyFont="1" applyFill="1" applyBorder="1" applyAlignment="1" applyProtection="1">
      <alignment horizontal="center" vertical="center" wrapText="1"/>
    </xf>
    <xf numFmtId="0" fontId="18" fillId="4" borderId="20" xfId="0" applyFont="1" applyFill="1" applyBorder="1" applyAlignment="1" applyProtection="1">
      <alignment horizontal="center" vertical="center" wrapText="1"/>
    </xf>
    <xf numFmtId="0" fontId="18" fillId="4" borderId="34" xfId="0" applyFont="1" applyFill="1" applyBorder="1" applyAlignment="1" applyProtection="1">
      <alignment horizontal="center" vertical="center" wrapText="1"/>
    </xf>
    <xf numFmtId="0" fontId="18" fillId="4" borderId="12" xfId="0" applyFont="1" applyFill="1" applyBorder="1" applyAlignment="1" applyProtection="1">
      <alignment horizontal="center" vertical="center" wrapText="1"/>
    </xf>
    <xf numFmtId="0" fontId="18" fillId="4" borderId="75" xfId="0" applyFont="1" applyFill="1" applyBorder="1" applyAlignment="1" applyProtection="1">
      <alignment horizontal="center" vertical="center" wrapText="1"/>
    </xf>
    <xf numFmtId="0" fontId="18" fillId="4" borderId="82" xfId="0" quotePrefix="1" applyFont="1" applyFill="1" applyBorder="1" applyAlignment="1" applyProtection="1">
      <alignment horizontal="center" vertical="center" wrapText="1"/>
    </xf>
    <xf numFmtId="0" fontId="18" fillId="4" borderId="83" xfId="0" quotePrefix="1" applyFont="1" applyFill="1" applyBorder="1" applyAlignment="1" applyProtection="1">
      <alignment horizontal="center" vertical="center" wrapText="1"/>
    </xf>
    <xf numFmtId="0" fontId="18" fillId="7" borderId="79" xfId="0" applyFont="1" applyFill="1" applyBorder="1" applyAlignment="1" applyProtection="1">
      <alignment horizontal="center" vertical="center"/>
    </xf>
    <xf numFmtId="0" fontId="18" fillId="7" borderId="80" xfId="0" applyFont="1" applyFill="1" applyBorder="1" applyAlignment="1" applyProtection="1">
      <alignment horizontal="center" vertical="center"/>
    </xf>
    <xf numFmtId="0" fontId="23" fillId="4" borderId="65" xfId="0" applyFont="1" applyFill="1" applyBorder="1" applyAlignment="1" applyProtection="1">
      <alignment horizontal="left" vertical="center"/>
    </xf>
    <xf numFmtId="0" fontId="23" fillId="4" borderId="9" xfId="0" applyFont="1" applyFill="1" applyBorder="1" applyAlignment="1" applyProtection="1">
      <alignment horizontal="left" vertical="center"/>
    </xf>
    <xf numFmtId="0" fontId="23" fillId="4" borderId="66" xfId="0" applyFont="1" applyFill="1" applyBorder="1" applyAlignment="1" applyProtection="1">
      <alignment horizontal="left" vertical="center"/>
    </xf>
    <xf numFmtId="2" fontId="18" fillId="0" borderId="65" xfId="0" applyNumberFormat="1" applyFont="1" applyFill="1" applyBorder="1" applyAlignment="1" applyProtection="1">
      <alignment horizontal="center" vertical="center"/>
    </xf>
    <xf numFmtId="2" fontId="18" fillId="0" borderId="66" xfId="0" applyNumberFormat="1" applyFont="1" applyFill="1" applyBorder="1" applyAlignment="1" applyProtection="1">
      <alignment horizontal="center" vertical="center"/>
    </xf>
    <xf numFmtId="190" fontId="20" fillId="0" borderId="67" xfId="0" applyNumberFormat="1" applyFont="1" applyFill="1" applyBorder="1" applyAlignment="1" applyProtection="1">
      <alignment horizontal="center" vertical="center"/>
    </xf>
    <xf numFmtId="190" fontId="20" fillId="0" borderId="84" xfId="0" applyNumberFormat="1" applyFont="1" applyFill="1" applyBorder="1" applyAlignment="1" applyProtection="1">
      <alignment horizontal="center" vertical="center"/>
    </xf>
    <xf numFmtId="0" fontId="18" fillId="4" borderId="69" xfId="0" quotePrefix="1" applyFont="1" applyFill="1" applyBorder="1" applyAlignment="1" applyProtection="1">
      <alignment horizontal="center" vertical="center" wrapText="1"/>
    </xf>
    <xf numFmtId="0" fontId="18" fillId="4" borderId="85" xfId="0" quotePrefix="1" applyFont="1" applyFill="1" applyBorder="1" applyAlignment="1" applyProtection="1">
      <alignment horizontal="center" vertical="center" wrapText="1"/>
    </xf>
    <xf numFmtId="0" fontId="18" fillId="4" borderId="62" xfId="0" quotePrefix="1" applyFont="1" applyFill="1" applyBorder="1" applyAlignment="1" applyProtection="1">
      <alignment horizontal="center" vertical="center" wrapText="1"/>
    </xf>
    <xf numFmtId="0" fontId="18" fillId="4" borderId="64" xfId="0" quotePrefix="1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center"/>
    </xf>
    <xf numFmtId="0" fontId="5" fillId="4" borderId="69" xfId="0" applyFont="1" applyFill="1" applyBorder="1" applyAlignment="1" applyProtection="1">
      <alignment horizontal="left" shrinkToFit="1"/>
    </xf>
    <xf numFmtId="0" fontId="5" fillId="4" borderId="70" xfId="0" applyFont="1" applyFill="1" applyBorder="1" applyAlignment="1" applyProtection="1">
      <alignment horizontal="left" shrinkToFit="1"/>
    </xf>
    <xf numFmtId="0" fontId="5" fillId="4" borderId="71" xfId="0" applyFont="1" applyFill="1" applyBorder="1" applyAlignment="1" applyProtection="1">
      <alignment horizontal="left" shrinkToFit="1"/>
    </xf>
    <xf numFmtId="14" fontId="5" fillId="0" borderId="0" xfId="0" applyNumberFormat="1" applyFont="1" applyFill="1" applyAlignment="1" applyProtection="1">
      <alignment horizontal="right"/>
    </xf>
    <xf numFmtId="0" fontId="18" fillId="4" borderId="72" xfId="0" applyFont="1" applyFill="1" applyBorder="1" applyAlignment="1" applyProtection="1">
      <alignment horizontal="center" vertical="center"/>
    </xf>
    <xf numFmtId="0" fontId="18" fillId="4" borderId="73" xfId="0" applyFont="1" applyFill="1" applyBorder="1" applyAlignment="1" applyProtection="1">
      <alignment horizontal="center" vertical="center"/>
    </xf>
    <xf numFmtId="0" fontId="18" fillId="4" borderId="65" xfId="0" applyFont="1" applyFill="1" applyBorder="1" applyAlignment="1" applyProtection="1">
      <alignment horizontal="center" vertical="center"/>
    </xf>
    <xf numFmtId="0" fontId="18" fillId="4" borderId="9" xfId="0" applyFont="1" applyFill="1" applyBorder="1" applyAlignment="1" applyProtection="1">
      <alignment horizontal="center" vertical="center"/>
    </xf>
    <xf numFmtId="0" fontId="18" fillId="4" borderId="45" xfId="0" applyFont="1" applyFill="1" applyBorder="1" applyAlignment="1" applyProtection="1">
      <alignment horizontal="center" vertical="center"/>
    </xf>
    <xf numFmtId="0" fontId="18" fillId="4" borderId="74" xfId="0" quotePrefix="1" applyFont="1" applyFill="1" applyBorder="1" applyAlignment="1" applyProtection="1">
      <alignment horizontal="center" vertical="center" wrapText="1"/>
    </xf>
    <xf numFmtId="0" fontId="18" fillId="4" borderId="75" xfId="0" quotePrefix="1" applyFont="1" applyFill="1" applyBorder="1" applyAlignment="1" applyProtection="1">
      <alignment horizontal="center" vertical="center" wrapText="1"/>
    </xf>
    <xf numFmtId="0" fontId="18" fillId="4" borderId="76" xfId="0" quotePrefix="1" applyFont="1" applyFill="1" applyBorder="1" applyAlignment="1" applyProtection="1">
      <alignment horizontal="center" vertical="center" wrapText="1"/>
    </xf>
    <xf numFmtId="0" fontId="18" fillId="4" borderId="71" xfId="0" quotePrefix="1" applyFont="1" applyFill="1" applyBorder="1" applyAlignment="1" applyProtection="1">
      <alignment horizontal="center" vertical="center" wrapText="1"/>
    </xf>
    <xf numFmtId="0" fontId="18" fillId="4" borderId="77" xfId="0" quotePrefix="1" applyFont="1" applyFill="1" applyBorder="1" applyAlignment="1" applyProtection="1">
      <alignment horizontal="center" vertical="center" wrapText="1"/>
    </xf>
    <xf numFmtId="0" fontId="18" fillId="4" borderId="78" xfId="0" quotePrefix="1" applyFont="1" applyFill="1" applyBorder="1" applyAlignment="1" applyProtection="1">
      <alignment horizontal="center" vertical="center" wrapText="1"/>
    </xf>
    <xf numFmtId="0" fontId="18" fillId="7" borderId="57" xfId="0" applyFont="1" applyFill="1" applyBorder="1" applyAlignment="1" applyProtection="1">
      <alignment horizontal="center" vertical="center"/>
    </xf>
    <xf numFmtId="0" fontId="10" fillId="0" borderId="0" xfId="0" applyFont="1" applyAlignment="1" applyProtection="1">
      <alignment horizontal="center"/>
    </xf>
    <xf numFmtId="0" fontId="0" fillId="0" borderId="0" xfId="0" applyAlignment="1" applyProtection="1">
      <alignment horizontal="center"/>
    </xf>
    <xf numFmtId="0" fontId="4" fillId="4" borderId="0" xfId="0" applyFont="1" applyFill="1" applyBorder="1" applyAlignment="1" applyProtection="1">
      <alignment horizontal="left" vertical="center"/>
    </xf>
    <xf numFmtId="0" fontId="3" fillId="4" borderId="0" xfId="0" applyFont="1" applyFill="1" applyBorder="1" applyAlignment="1" applyProtection="1">
      <alignment horizontal="left" vertical="center"/>
    </xf>
    <xf numFmtId="0" fontId="0" fillId="0" borderId="0" xfId="0" applyAlignment="1" applyProtection="1">
      <alignment horizontal="right"/>
    </xf>
    <xf numFmtId="193" fontId="0" fillId="0" borderId="0" xfId="0" applyNumberFormat="1" applyAlignment="1" applyProtection="1">
      <alignment horizontal="left"/>
    </xf>
  </cellXfs>
  <cellStyles count="1">
    <cellStyle name="Normal" xfId="0" builtinId="0"/>
  </cellStyles>
  <dxfs count="10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auto="1"/>
      </font>
      <fill>
        <patternFill>
          <bgColor indexed="47"/>
        </patternFill>
      </fill>
    </dxf>
    <dxf>
      <font>
        <condense val="0"/>
        <extend val="0"/>
        <color indexed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8550724637681164E-2"/>
          <c:y val="9.1503267973856203E-2"/>
          <c:w val="0.87826086956521743"/>
          <c:h val="0.65359477124183007"/>
        </c:manualLayout>
      </c:layout>
      <c:lineChart>
        <c:grouping val="standard"/>
        <c:varyColors val="0"/>
        <c:ser>
          <c:idx val="0"/>
          <c:order val="0"/>
          <c:tx>
            <c:v>Lote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5"/>
            <c:marker>
              <c:symbol val="x"/>
              <c:size val="5"/>
              <c:spPr>
                <a:solidFill>
                  <a:srgbClr val="FF000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1-6E66-E142-ABEC-44C2A99EC3AD}"/>
              </c:ext>
            </c:extLst>
          </c:dPt>
          <c:val>
            <c:numRef>
              <c:f>DATINF!$M$26:$M$41</c:f>
              <c:numCache>
                <c:formatCode>0.0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E66-E142-ABEC-44C2A99EC3AD}"/>
            </c:ext>
          </c:extLst>
        </c:ser>
        <c:ser>
          <c:idx val="1"/>
          <c:order val="1"/>
          <c:tx>
            <c:v>Media Lote</c:v>
          </c:tx>
          <c:spPr>
            <a:ln w="31750">
              <a:solidFill>
                <a:srgbClr val="339933"/>
              </a:solidFill>
              <a:prstDash val="dash"/>
            </a:ln>
          </c:spPr>
          <c:marker>
            <c:symbol val="none"/>
          </c:marker>
          <c:val>
            <c:numRef>
              <c:f>DATINF!$O$26:$O$41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E66-E142-ABEC-44C2A99EC3AD}"/>
            </c:ext>
          </c:extLst>
        </c:ser>
        <c:ser>
          <c:idx val="2"/>
          <c:order val="2"/>
          <c:tx>
            <c:v>Especificación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DATINF!$P$26:$P$41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E66-E142-ABEC-44C2A99EC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5633855"/>
        <c:axId val="1"/>
      </c:lineChart>
      <c:catAx>
        <c:axId val="1595633855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Nº de ensayo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1"/>
        <c:crossesAt val="95"/>
        <c:auto val="0"/>
        <c:lblAlgn val="ctr"/>
        <c:lblOffset val="100"/>
        <c:noMultiLvlLbl val="0"/>
      </c:catAx>
      <c:valAx>
        <c:axId val="1"/>
        <c:scaling>
          <c:orientation val="minMax"/>
          <c:max val="105"/>
          <c:min val="8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% compactación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595633855"/>
        <c:crosses val="autoZero"/>
        <c:crossBetween val="midCat"/>
        <c:majorUnit val="2.4285714285714284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5745003355621922E-2"/>
          <c:y val="0.85473184379546008"/>
          <c:w val="0.84799974801582434"/>
          <c:h val="0.12820977656931901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INF!#REF!</c:f>
              <c:strCache>
                <c:ptCount val="1"/>
                <c:pt idx="0">
                  <c:v>#¡REF!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5D-2E4C-B72B-F507D393926D}"/>
            </c:ext>
          </c:extLst>
        </c:ser>
        <c:ser>
          <c:idx val="4"/>
          <c:order val="1"/>
          <c:tx>
            <c:strRef>
              <c:f>INF!#REF!</c:f>
              <c:strCache>
                <c:ptCount val="1"/>
                <c:pt idx="0">
                  <c:v>#¡REF!</c:v>
                </c:pt>
              </c:strCache>
            </c:strRef>
          </c:tx>
          <c:spPr>
            <a:ln w="12700">
              <a:solidFill>
                <a:srgbClr val="800080"/>
              </a:solidFill>
              <a:prstDash val="solid"/>
            </a:ln>
          </c:spPr>
          <c:marker>
            <c:symbol val="none"/>
          </c:marker>
          <c:cat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5D-2E4C-B72B-F507D393926D}"/>
            </c:ext>
          </c:extLst>
        </c:ser>
        <c:ser>
          <c:idx val="5"/>
          <c:order val="2"/>
          <c:tx>
            <c:strRef>
              <c:f>INF!#REF!</c:f>
              <c:strCache>
                <c:ptCount val="1"/>
                <c:pt idx="0">
                  <c:v>#¡REF!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none"/>
          </c:marker>
          <c:cat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5D-2E4C-B72B-F507D393926D}"/>
            </c:ext>
          </c:extLst>
        </c:ser>
        <c:ser>
          <c:idx val="6"/>
          <c:order val="3"/>
          <c:tx>
            <c:strRef>
              <c:f>INF!#REF!</c:f>
              <c:strCache>
                <c:ptCount val="1"/>
                <c:pt idx="0">
                  <c:v>#¡REF!</c:v>
                </c:pt>
              </c:strCache>
            </c:strRef>
          </c:tx>
          <c:spPr>
            <a:ln w="25400">
              <a:solidFill>
                <a:srgbClr val="424242"/>
              </a:solidFill>
              <a:prstDash val="sysDash"/>
            </a:ln>
          </c:spPr>
          <c:marker>
            <c:symbol val="none"/>
          </c:marker>
          <c:cat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5D-2E4C-B72B-F507D393926D}"/>
            </c:ext>
          </c:extLst>
        </c:ser>
        <c:ser>
          <c:idx val="7"/>
          <c:order val="4"/>
          <c:tx>
            <c:strRef>
              <c:f>INF!$B$9</c:f>
              <c:strCache>
                <c:ptCount val="1"/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cat>
          <c:val>
            <c:numRef>
              <c:f>INF!#REF!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B5D-2E4C-B72B-F507D3939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547423"/>
        <c:axId val="1"/>
      </c:lineChart>
      <c:catAx>
        <c:axId val="1620547423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Tensión Mpa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out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"/>
        <c:crossesAt val="0.02"/>
        <c:auto val="0"/>
        <c:lblAlgn val="ctr"/>
        <c:lblOffset val="100"/>
        <c:tickLblSkip val="1"/>
        <c:tickMarkSkip val="2"/>
        <c:noMultiLvlLbl val="0"/>
      </c:catAx>
      <c:valAx>
        <c:axId val="1"/>
        <c:scaling>
          <c:orientation val="maxMin"/>
          <c:max val="4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Asiento mm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20547423"/>
        <c:crosses val="autoZero"/>
        <c:crossBetween val="midCat"/>
        <c:majorUnit val="0.5"/>
        <c:minorUnit val="0.1"/>
      </c:valAx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>
      <c:oddHeader>&amp;A</c:oddHeader>
      <c:oddFooter>Página &amp;P</c:oddFooter>
    </c:headerFooter>
    <c:pageMargins b="1" l="0.75" r="0.75" t="1" header="0.511811024" footer="0.511811024"/>
    <c:pageSetup paperSize="9" orientation="landscape" horizontalDpi="30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4720121028744322E-2"/>
          <c:y val="3.9215686274509803E-2"/>
          <c:w val="0.8910741301059002"/>
          <c:h val="0.70588235294117652"/>
        </c:manualLayout>
      </c:layout>
      <c:lineChart>
        <c:grouping val="standard"/>
        <c:varyColors val="0"/>
        <c:ser>
          <c:idx val="0"/>
          <c:order val="0"/>
          <c:tx>
            <c:v>Lote</c:v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5"/>
            <c:marker>
              <c:symbol val="x"/>
              <c:size val="5"/>
              <c:spPr>
                <a:solidFill>
                  <a:srgbClr val="FF0000"/>
                </a:solidFill>
                <a:ln>
                  <a:solidFill>
                    <a:srgbClr val="000080"/>
                  </a:solidFill>
                  <a:prstDash val="solid"/>
                </a:ln>
              </c:spPr>
            </c:marker>
            <c:bubble3D val="0"/>
            <c:spPr>
              <a:ln w="28575">
                <a:noFill/>
              </a:ln>
            </c:spPr>
            <c:extLst>
              <c:ext xmlns:c16="http://schemas.microsoft.com/office/drawing/2014/chart" uri="{C3380CC4-5D6E-409C-BE32-E72D297353CC}">
                <c16:uniqueId val="{00000001-348F-4345-8ADF-D78606A1D9ED}"/>
              </c:ext>
            </c:extLst>
          </c:dPt>
          <c:val>
            <c:numRef>
              <c:f>DATINF!$M$26:$M$41</c:f>
              <c:numCache>
                <c:formatCode>0.0</c:formatCode>
                <c:ptCount val="1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48F-4345-8ADF-D78606A1D9ED}"/>
            </c:ext>
          </c:extLst>
        </c:ser>
        <c:ser>
          <c:idx val="1"/>
          <c:order val="1"/>
          <c:tx>
            <c:v>Media Lote</c:v>
          </c:tx>
          <c:spPr>
            <a:ln w="31750">
              <a:solidFill>
                <a:srgbClr val="339933"/>
              </a:solidFill>
              <a:prstDash val="dash"/>
            </a:ln>
          </c:spPr>
          <c:marker>
            <c:symbol val="none"/>
          </c:marker>
          <c:val>
            <c:numRef>
              <c:f>DATINF!$O$26:$O$41</c:f>
              <c:numCache>
                <c:formatCode>0.0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8F-4345-8ADF-D78606A1D9ED}"/>
            </c:ext>
          </c:extLst>
        </c:ser>
        <c:ser>
          <c:idx val="2"/>
          <c:order val="2"/>
          <c:tx>
            <c:v>Especificación</c:v>
          </c:tx>
          <c:spPr>
            <a:ln w="3175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Ref>
              <c:f>DATINF!$P$26:$P$41</c:f>
              <c:numCache>
                <c:formatCode>General</c:formatCode>
                <c:ptCount val="1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8F-4345-8ADF-D78606A1D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0514399"/>
        <c:axId val="1"/>
      </c:lineChart>
      <c:catAx>
        <c:axId val="1620514399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Nº de ensayo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majorTickMark val="out"/>
        <c:minorTickMark val="none"/>
        <c:tickLblPos val="nextTo"/>
        <c:crossAx val="1"/>
        <c:crossesAt val="95"/>
        <c:auto val="0"/>
        <c:lblAlgn val="ctr"/>
        <c:lblOffset val="100"/>
        <c:noMultiLvlLbl val="0"/>
      </c:catAx>
      <c:valAx>
        <c:axId val="1"/>
        <c:scaling>
          <c:orientation val="minMax"/>
          <c:max val="105"/>
          <c:min val="88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_tradnl"/>
                  <a:t>% compactación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20514399"/>
        <c:crosses val="autoZero"/>
        <c:crossBetween val="midCat"/>
        <c:majorUnit val="2.4285714285714284"/>
        <c:minorUnit val="1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5.500170229776246E-2"/>
          <c:y val="0.85473184379546008"/>
          <c:w val="0.84669287173525243"/>
          <c:h val="0.12820977656931901"/>
        </c:manualLayout>
      </c:layout>
      <c:overlay val="0"/>
      <c:spPr>
        <a:noFill/>
        <a:ln>
          <a:noFill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trlProps/ctrlProp1.xml><?xml version="1.0" encoding="utf-8"?>
<formControlPr xmlns="http://schemas.microsoft.com/office/spreadsheetml/2009/9/main" objectType="Drop" dropLines="6" dropStyle="combo" dx="15" fmlaLink="E3" fmlaRange="$D$57:$D$62" noThreeD="1" sel="3" val="0"/>
</file>

<file path=xl/ctrlProps/ctrlProp2.xml><?xml version="1.0" encoding="utf-8"?>
<formControlPr xmlns="http://schemas.microsoft.com/office/spreadsheetml/2009/9/main" objectType="Drop" dropLines="4" dropStyle="combo" dx="15" fmlaLink="C3" fmlaRange="$B$57:$B$65" noThreeD="1" sel="2" val="0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44</xdr:row>
      <xdr:rowOff>0</xdr:rowOff>
    </xdr:from>
    <xdr:to>
      <xdr:col>11</xdr:col>
      <xdr:colOff>0</xdr:colOff>
      <xdr:row>53</xdr:row>
      <xdr:rowOff>0</xdr:rowOff>
    </xdr:to>
    <xdr:graphicFrame macro="[0]!AdjustGraf">
      <xdr:nvGraphicFramePr>
        <xdr:cNvPr id="1001489" name="Chart 50">
          <a:extLst>
            <a:ext uri="{FF2B5EF4-FFF2-40B4-BE49-F238E27FC236}">
              <a16:creationId xmlns:a16="http://schemas.microsoft.com/office/drawing/2014/main" id="{0F31386C-E060-5076-0FED-7F5ECFF4B3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12</xdr:col>
      <xdr:colOff>0</xdr:colOff>
      <xdr:row>55</xdr:row>
      <xdr:rowOff>0</xdr:rowOff>
    </xdr:to>
    <xdr:sp macro="[0]!AdjustGraf" textlink="">
      <xdr:nvSpPr>
        <xdr:cNvPr id="3129" name="Rectangle 57">
          <a:extLst>
            <a:ext uri="{FF2B5EF4-FFF2-40B4-BE49-F238E27FC236}">
              <a16:creationId xmlns:a16="http://schemas.microsoft.com/office/drawing/2014/main" id="{C8C7C3A9-35FB-E580-466D-17CAE7928715}"/>
            </a:ext>
          </a:extLst>
        </xdr:cNvPr>
        <xdr:cNvSpPr>
          <a:spLocks noChangeArrowheads="1"/>
        </xdr:cNvSpPr>
      </xdr:nvSpPr>
      <xdr:spPr bwMode="auto">
        <a:xfrm>
          <a:off x="0" y="9191625"/>
          <a:ext cx="8067675" cy="190500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  <a:effectLst/>
      </xdr:spPr>
      <xdr:txBody>
        <a:bodyPr vertOverflow="clip" wrap="square" lIns="27432" tIns="22860" rIns="27432" bIns="0" anchor="t" upright="1"/>
        <a:lstStyle/>
        <a:p>
          <a:pPr algn="ctr" rtl="1">
            <a:defRPr sz="1000"/>
          </a:pPr>
          <a:r>
            <a:rPr lang="es-ES" sz="1000" b="1" i="1" strike="noStrike">
              <a:solidFill>
                <a:srgbClr val="FFFFFF"/>
              </a:solidFill>
              <a:latin typeface="Arial"/>
              <a:cs typeface="Arial"/>
            </a:rPr>
            <a:t>Haz </a:t>
          </a:r>
          <a:r>
            <a:rPr lang="es-ES" sz="1200" b="1" i="1" strike="noStrike">
              <a:solidFill>
                <a:srgbClr val="FFFFFF"/>
              </a:solidFill>
              <a:latin typeface="Arial"/>
              <a:cs typeface="Arial"/>
            </a:rPr>
            <a:t>clic</a:t>
          </a:r>
          <a:r>
            <a:rPr lang="es-ES" sz="1000" b="1" i="1" strike="noStrike">
              <a:solidFill>
                <a:srgbClr val="FFFFFF"/>
              </a:solidFill>
              <a:latin typeface="Arial"/>
              <a:cs typeface="Arial"/>
            </a:rPr>
            <a:t> sobre el </a:t>
          </a:r>
          <a:r>
            <a:rPr lang="es-ES" sz="1200" b="1" i="1" strike="noStrike">
              <a:solidFill>
                <a:srgbClr val="FFFFFF"/>
              </a:solidFill>
              <a:latin typeface="Arial"/>
              <a:cs typeface="Arial"/>
            </a:rPr>
            <a:t>gráfico</a:t>
          </a:r>
          <a:r>
            <a:rPr lang="es-ES" sz="1000" b="1" i="1" strike="noStrike">
              <a:solidFill>
                <a:srgbClr val="FFFFFF"/>
              </a:solidFill>
              <a:latin typeface="Arial"/>
              <a:cs typeface="Arial"/>
            </a:rPr>
            <a:t> para ajustar la escala automáticamente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0</xdr:rowOff>
        </xdr:from>
        <xdr:to>
          <xdr:col>4</xdr:col>
          <xdr:colOff>114300</xdr:colOff>
          <xdr:row>3</xdr:row>
          <xdr:rowOff>0</xdr:rowOff>
        </xdr:to>
        <xdr:sp macro="" textlink="">
          <xdr:nvSpPr>
            <xdr:cNvPr id="3128" name="Drop Down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CE135E0B-3775-F2A6-EC0C-ECA53ACAE3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2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3130" name="Drop Down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A243A3CE-336D-861F-BD22-F83150D35C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203200</xdr:colOff>
          <xdr:row>0</xdr:row>
          <xdr:rowOff>114300</xdr:rowOff>
        </xdr:from>
        <xdr:to>
          <xdr:col>10</xdr:col>
          <xdr:colOff>431800</xdr:colOff>
          <xdr:row>2</xdr:row>
          <xdr:rowOff>0</xdr:rowOff>
        </xdr:to>
        <xdr:sp macro="" textlink="">
          <xdr:nvSpPr>
            <xdr:cNvPr id="3131" name="Button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363896E-2085-20E8-AE72-8A81B0C140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ES_tradnl" sz="1000" b="0" i="0" u="none" strike="noStrike" baseline="0">
                  <a:solidFill>
                    <a:srgbClr val="000000"/>
                  </a:solidFill>
                  <a:latin typeface="Arial" charset="0"/>
                  <a:cs typeface="Arial" charset="0"/>
                </a:rPr>
                <a:t>Ver Informe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520700</xdr:colOff>
          <xdr:row>0</xdr:row>
          <xdr:rowOff>114300</xdr:rowOff>
        </xdr:from>
        <xdr:to>
          <xdr:col>10</xdr:col>
          <xdr:colOff>1816100</xdr:colOff>
          <xdr:row>2</xdr:row>
          <xdr:rowOff>0</xdr:rowOff>
        </xdr:to>
        <xdr:sp macro="" textlink="">
          <xdr:nvSpPr>
            <xdr:cNvPr id="3132" name="Button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73AB4684-3214-5D43-C098-5E8A991215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s-ES_tradnl" sz="1000" b="0" i="0" u="none" strike="noStrike" baseline="0">
                  <a:solidFill>
                    <a:srgbClr val="000000"/>
                  </a:solidFill>
                  <a:latin typeface="Arial" charset="0"/>
                  <a:cs typeface="Arial" charset="0"/>
                </a:rPr>
                <a:t>Guardar y Salir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139700</xdr:rowOff>
    </xdr:from>
    <xdr:to>
      <xdr:col>0</xdr:col>
      <xdr:colOff>0</xdr:colOff>
      <xdr:row>40</xdr:row>
      <xdr:rowOff>139700</xdr:rowOff>
    </xdr:to>
    <xdr:graphicFrame macro="">
      <xdr:nvGraphicFramePr>
        <xdr:cNvPr id="511968" name="Chart 5">
          <a:extLst>
            <a:ext uri="{FF2B5EF4-FFF2-40B4-BE49-F238E27FC236}">
              <a16:creationId xmlns:a16="http://schemas.microsoft.com/office/drawing/2014/main" id="{C1390760-4656-C223-A22B-83C895CE68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76200</xdr:rowOff>
    </xdr:from>
    <xdr:to>
      <xdr:col>0</xdr:col>
      <xdr:colOff>0</xdr:colOff>
      <xdr:row>32</xdr:row>
      <xdr:rowOff>9525</xdr:rowOff>
    </xdr:to>
    <xdr:sp macro="" textlink="">
      <xdr:nvSpPr>
        <xdr:cNvPr id="1030" name="Texto 6">
          <a:extLst>
            <a:ext uri="{FF2B5EF4-FFF2-40B4-BE49-F238E27FC236}">
              <a16:creationId xmlns:a16="http://schemas.microsoft.com/office/drawing/2014/main" id="{3AFDE2EB-D967-C36A-3F55-3E6F1C426C5C}"/>
            </a:ext>
          </a:extLst>
        </xdr:cNvPr>
        <xdr:cNvSpPr txBox="1">
          <a:spLocks noChangeArrowheads="1"/>
        </xdr:cNvSpPr>
      </xdr:nvSpPr>
      <xdr:spPr bwMode="auto">
        <a:xfrm>
          <a:off x="0" y="5810250"/>
          <a:ext cx="0" cy="1809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1ª Carga</a:t>
          </a:r>
        </a:p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1ª Carga</a:t>
          </a:r>
        </a:p>
      </xdr:txBody>
    </xdr:sp>
    <xdr:clientData/>
  </xdr:twoCellAnchor>
  <xdr:twoCellAnchor>
    <xdr:from>
      <xdr:col>0</xdr:col>
      <xdr:colOff>0</xdr:colOff>
      <xdr:row>34</xdr:row>
      <xdr:rowOff>152400</xdr:rowOff>
    </xdr:from>
    <xdr:to>
      <xdr:col>0</xdr:col>
      <xdr:colOff>0</xdr:colOff>
      <xdr:row>35</xdr:row>
      <xdr:rowOff>85725</xdr:rowOff>
    </xdr:to>
    <xdr:sp macro="" textlink="">
      <xdr:nvSpPr>
        <xdr:cNvPr id="1031" name="Texto 7">
          <a:extLst>
            <a:ext uri="{FF2B5EF4-FFF2-40B4-BE49-F238E27FC236}">
              <a16:creationId xmlns:a16="http://schemas.microsoft.com/office/drawing/2014/main" id="{9FCB02BF-5F5D-CA0D-7503-D35ABBF0C2CF}"/>
            </a:ext>
          </a:extLst>
        </xdr:cNvPr>
        <xdr:cNvSpPr txBox="1">
          <a:spLocks noChangeArrowheads="1"/>
        </xdr:cNvSpPr>
      </xdr:nvSpPr>
      <xdr:spPr bwMode="auto">
        <a:xfrm>
          <a:off x="0" y="6753225"/>
          <a:ext cx="0" cy="95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Descarga</a:t>
          </a:r>
        </a:p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Descarga</a:t>
          </a:r>
        </a:p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Descarga</a:t>
          </a:r>
        </a:p>
      </xdr:txBody>
    </xdr:sp>
    <xdr:clientData/>
  </xdr:twoCellAnchor>
  <xdr:twoCellAnchor>
    <xdr:from>
      <xdr:col>0</xdr:col>
      <xdr:colOff>0</xdr:colOff>
      <xdr:row>34</xdr:row>
      <xdr:rowOff>0</xdr:rowOff>
    </xdr:from>
    <xdr:to>
      <xdr:col>0</xdr:col>
      <xdr:colOff>0</xdr:colOff>
      <xdr:row>34</xdr:row>
      <xdr:rowOff>0</xdr:rowOff>
    </xdr:to>
    <xdr:sp macro="" textlink="">
      <xdr:nvSpPr>
        <xdr:cNvPr id="1032" name="Texto 8">
          <a:extLst>
            <a:ext uri="{FF2B5EF4-FFF2-40B4-BE49-F238E27FC236}">
              <a16:creationId xmlns:a16="http://schemas.microsoft.com/office/drawing/2014/main" id="{BD6A4EC0-3E2F-BE47-5B30-338A2999D6E8}"/>
            </a:ext>
          </a:extLst>
        </xdr:cNvPr>
        <xdr:cNvSpPr txBox="1">
          <a:spLocks noChangeArrowheads="1"/>
        </xdr:cNvSpPr>
      </xdr:nvSpPr>
      <xdr:spPr bwMode="auto">
        <a:xfrm>
          <a:off x="0" y="64770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18288" tIns="18288" rIns="18288" bIns="0" anchor="t" upright="1"/>
        <a:lstStyle/>
        <a:p>
          <a:pPr algn="ctr" rtl="0">
            <a:defRPr sz="1000"/>
          </a:pPr>
          <a:r>
            <a:rPr lang="es-ES" sz="500" b="0" i="0" strike="noStrike">
              <a:solidFill>
                <a:srgbClr val="000000"/>
              </a:solidFill>
              <a:latin typeface="Arial"/>
              <a:cs typeface="Arial"/>
            </a:rPr>
            <a:t>2ª Carga</a:t>
          </a:r>
        </a:p>
      </xdr:txBody>
    </xdr:sp>
    <xdr:clientData/>
  </xdr:twoCellAnchor>
  <xdr:twoCellAnchor>
    <xdr:from>
      <xdr:col>0</xdr:col>
      <xdr:colOff>0</xdr:colOff>
      <xdr:row>34</xdr:row>
      <xdr:rowOff>38100</xdr:rowOff>
    </xdr:from>
    <xdr:to>
      <xdr:col>7</xdr:col>
      <xdr:colOff>1130300</xdr:colOff>
      <xdr:row>43</xdr:row>
      <xdr:rowOff>38100</xdr:rowOff>
    </xdr:to>
    <xdr:graphicFrame macro="[0]!AdjustGraf">
      <xdr:nvGraphicFramePr>
        <xdr:cNvPr id="511972" name="Chart 50">
          <a:extLst>
            <a:ext uri="{FF2B5EF4-FFF2-40B4-BE49-F238E27FC236}">
              <a16:creationId xmlns:a16="http://schemas.microsoft.com/office/drawing/2014/main" id="{689E7999-2898-E73A-45BB-E4DBC13FBE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DF8C-4013-5B49-9A48-B8C5C1248508}">
  <sheetPr codeName="Hoja17">
    <pageSetUpPr fitToPage="1"/>
  </sheetPr>
  <dimension ref="A1:AY66"/>
  <sheetViews>
    <sheetView showGridLines="0" tabSelected="1" topLeftCell="A26" workbookViewId="0">
      <selection activeCell="F26" sqref="F26"/>
    </sheetView>
  </sheetViews>
  <sheetFormatPr baseColWidth="10" defaultColWidth="11.5" defaultRowHeight="13" x14ac:dyDescent="0.15"/>
  <cols>
    <col min="1" max="1" width="11" style="13" customWidth="1"/>
    <col min="2" max="2" width="11.5" style="13"/>
    <col min="3" max="3" width="12.83203125" style="13" customWidth="1"/>
    <col min="4" max="6" width="11.5" style="13"/>
    <col min="7" max="7" width="11.5" style="13" bestFit="1" customWidth="1"/>
    <col min="8" max="8" width="11.5" style="13" hidden="1" customWidth="1"/>
    <col min="9" max="9" width="7.6640625" style="13" bestFit="1" customWidth="1"/>
    <col min="10" max="10" width="7.6640625" style="13" customWidth="1"/>
    <col min="11" max="11" width="24.5" style="13" customWidth="1"/>
    <col min="12" max="12" width="0" style="13" hidden="1" customWidth="1"/>
    <col min="13" max="16384" width="11.5" style="13"/>
  </cols>
  <sheetData>
    <row r="1" spans="1:11" x14ac:dyDescent="0.15">
      <c r="A1" s="170" t="s">
        <v>15</v>
      </c>
      <c r="B1" s="170"/>
      <c r="C1" s="142"/>
      <c r="D1" s="24"/>
      <c r="E1" s="24"/>
      <c r="F1" s="24"/>
      <c r="G1" s="24"/>
      <c r="H1" s="24"/>
      <c r="I1" s="24"/>
      <c r="J1" s="24"/>
      <c r="K1" s="24"/>
    </row>
    <row r="2" spans="1:11" x14ac:dyDescent="0.15">
      <c r="A2" s="170" t="s">
        <v>16</v>
      </c>
      <c r="B2" s="170"/>
      <c r="C2" s="142"/>
      <c r="D2" s="24"/>
      <c r="E2" s="24"/>
      <c r="F2" s="24"/>
      <c r="G2" s="24"/>
      <c r="H2" s="24"/>
      <c r="I2" s="24"/>
      <c r="J2" s="24"/>
      <c r="K2" s="24"/>
    </row>
    <row r="3" spans="1:11" ht="16.5" customHeight="1" x14ac:dyDescent="0.15">
      <c r="A3" s="170" t="s">
        <v>17</v>
      </c>
      <c r="B3" s="170"/>
      <c r="C3" s="143">
        <v>2</v>
      </c>
      <c r="D3" s="144">
        <v>1</v>
      </c>
      <c r="E3" s="42">
        <v>3</v>
      </c>
      <c r="F3" s="57"/>
      <c r="G3" s="25"/>
      <c r="H3" s="25"/>
      <c r="I3" s="25"/>
      <c r="J3" s="25"/>
      <c r="K3" s="25"/>
    </row>
    <row r="4" spans="1:11" x14ac:dyDescent="0.15">
      <c r="A4" s="174" t="s">
        <v>19</v>
      </c>
      <c r="B4" s="174"/>
      <c r="C4" s="145"/>
      <c r="D4" s="24"/>
      <c r="E4" s="24"/>
      <c r="F4" s="24"/>
      <c r="G4" s="24"/>
      <c r="H4" s="24"/>
      <c r="I4" s="24"/>
      <c r="J4" s="24"/>
      <c r="K4" s="24"/>
    </row>
    <row r="5" spans="1:11" x14ac:dyDescent="0.15">
      <c r="A5" s="170" t="s">
        <v>18</v>
      </c>
      <c r="B5" s="170"/>
      <c r="C5" s="146"/>
      <c r="D5" s="24"/>
      <c r="E5" s="24"/>
      <c r="F5" s="24"/>
      <c r="G5" s="24"/>
      <c r="H5" s="24"/>
      <c r="I5" s="24"/>
      <c r="J5" s="24"/>
      <c r="K5" s="24"/>
    </row>
    <row r="6" spans="1:11" x14ac:dyDescent="0.15">
      <c r="A6" s="170" t="s">
        <v>20</v>
      </c>
      <c r="B6" s="170"/>
      <c r="C6" s="23"/>
      <c r="D6" s="24"/>
      <c r="E6" s="24"/>
      <c r="F6" s="24"/>
      <c r="G6" s="24"/>
      <c r="H6" s="24"/>
      <c r="I6" s="24"/>
      <c r="J6" s="24"/>
      <c r="K6" s="24"/>
    </row>
    <row r="7" spans="1:11" x14ac:dyDescent="0.15">
      <c r="A7" s="170" t="s">
        <v>21</v>
      </c>
      <c r="B7" s="170"/>
      <c r="C7" s="147"/>
      <c r="D7" s="34" t="str">
        <f>SUBSTITUTE(C7,"/","_")</f>
        <v/>
      </c>
      <c r="E7" s="26"/>
      <c r="F7" s="26"/>
      <c r="G7" s="26"/>
      <c r="H7" s="26"/>
      <c r="I7" s="26"/>
      <c r="J7" s="26"/>
      <c r="K7" s="26"/>
    </row>
    <row r="8" spans="1:11" x14ac:dyDescent="0.15">
      <c r="A8" s="176" t="s">
        <v>22</v>
      </c>
      <c r="B8" s="176"/>
      <c r="C8" s="148"/>
      <c r="D8" s="27"/>
      <c r="E8" s="27"/>
      <c r="F8" s="27"/>
      <c r="G8" s="27"/>
      <c r="H8" s="27"/>
      <c r="I8" s="27"/>
      <c r="J8" s="27"/>
      <c r="K8" s="27"/>
    </row>
    <row r="9" spans="1:11" x14ac:dyDescent="0.15">
      <c r="A9" s="177" t="s">
        <v>23</v>
      </c>
      <c r="B9" s="177"/>
      <c r="C9" s="149"/>
      <c r="D9" s="28"/>
      <c r="E9" s="28"/>
      <c r="F9" s="28"/>
      <c r="G9" s="28"/>
      <c r="H9" s="28"/>
      <c r="I9" s="28"/>
      <c r="J9" s="28"/>
      <c r="K9" s="28"/>
    </row>
    <row r="10" spans="1:11" x14ac:dyDescent="0.15">
      <c r="A10" s="14"/>
      <c r="B10" s="14"/>
      <c r="C10" s="29"/>
      <c r="D10" s="27"/>
      <c r="E10" s="27"/>
      <c r="F10" s="27"/>
      <c r="G10" s="27"/>
      <c r="H10" s="27"/>
      <c r="I10" s="27"/>
      <c r="J10" s="27"/>
      <c r="K10" s="27"/>
    </row>
    <row r="11" spans="1:11" x14ac:dyDescent="0.15">
      <c r="A11" s="177" t="s">
        <v>24</v>
      </c>
      <c r="B11" s="177"/>
      <c r="C11" s="149"/>
      <c r="D11" s="28"/>
      <c r="E11" s="28"/>
      <c r="F11" s="28"/>
      <c r="G11" s="28"/>
      <c r="H11" s="28"/>
      <c r="I11" s="28"/>
      <c r="J11" s="28"/>
      <c r="K11" s="28"/>
    </row>
    <row r="12" spans="1:11" x14ac:dyDescent="0.15">
      <c r="A12" s="14"/>
      <c r="B12" s="14"/>
      <c r="C12" s="29"/>
      <c r="D12" s="27"/>
      <c r="E12" s="27"/>
      <c r="F12" s="27"/>
      <c r="G12" s="27"/>
      <c r="H12" s="27"/>
      <c r="I12" s="27"/>
      <c r="J12" s="27"/>
      <c r="K12" s="27"/>
    </row>
    <row r="13" spans="1:11" x14ac:dyDescent="0.15">
      <c r="A13" s="177" t="s">
        <v>25</v>
      </c>
      <c r="B13" s="177"/>
      <c r="C13" s="149"/>
      <c r="D13" s="28"/>
      <c r="E13" s="28"/>
      <c r="F13" s="28"/>
      <c r="G13" s="28"/>
      <c r="H13" s="28"/>
      <c r="I13" s="28"/>
      <c r="J13" s="28"/>
      <c r="K13" s="28"/>
    </row>
    <row r="14" spans="1:11" x14ac:dyDescent="0.15">
      <c r="A14" s="14"/>
      <c r="B14" s="14"/>
      <c r="C14" s="29"/>
      <c r="D14" s="27"/>
      <c r="E14" s="27"/>
      <c r="F14" s="27"/>
      <c r="G14" s="27"/>
      <c r="H14" s="27"/>
      <c r="I14" s="27"/>
      <c r="J14" s="27"/>
      <c r="K14" s="27"/>
    </row>
    <row r="15" spans="1:11" x14ac:dyDescent="0.15">
      <c r="A15" s="177" t="s">
        <v>26</v>
      </c>
      <c r="B15" s="177"/>
      <c r="C15" s="149"/>
      <c r="D15" s="28"/>
      <c r="E15" s="28"/>
      <c r="F15" s="28"/>
      <c r="G15" s="28"/>
      <c r="H15" s="28"/>
      <c r="I15" s="28"/>
      <c r="J15" s="28"/>
      <c r="K15" s="28"/>
    </row>
    <row r="16" spans="1:11" x14ac:dyDescent="0.15">
      <c r="A16" s="14"/>
      <c r="B16" s="14"/>
      <c r="C16" s="29"/>
      <c r="D16" s="27"/>
      <c r="E16" s="27"/>
      <c r="F16" s="27"/>
      <c r="G16" s="27"/>
      <c r="H16" s="27"/>
      <c r="I16" s="27"/>
      <c r="J16" s="27"/>
      <c r="K16" s="27"/>
    </row>
    <row r="17" spans="1:51" x14ac:dyDescent="0.15">
      <c r="A17" s="177" t="s">
        <v>27</v>
      </c>
      <c r="B17" s="177"/>
      <c r="C17" s="149"/>
      <c r="D17" s="28"/>
      <c r="E17" s="28"/>
      <c r="F17" s="28"/>
      <c r="G17" s="28"/>
      <c r="H17" s="28"/>
      <c r="I17" s="28"/>
      <c r="J17" s="28"/>
      <c r="K17" s="28"/>
    </row>
    <row r="18" spans="1:51" x14ac:dyDescent="0.15">
      <c r="A18" s="14"/>
      <c r="B18" s="14"/>
      <c r="C18" s="29"/>
      <c r="D18" s="27"/>
      <c r="E18" s="27"/>
      <c r="F18" s="27"/>
      <c r="G18" s="27"/>
      <c r="H18" s="27"/>
      <c r="I18" s="27"/>
      <c r="J18" s="27"/>
      <c r="K18" s="27"/>
    </row>
    <row r="19" spans="1:51" x14ac:dyDescent="0.15">
      <c r="A19" s="177" t="s">
        <v>30</v>
      </c>
      <c r="B19" s="177"/>
      <c r="C19" s="150"/>
      <c r="D19" s="28"/>
      <c r="E19" s="28"/>
      <c r="F19" s="28"/>
      <c r="G19" s="28"/>
      <c r="H19" s="28"/>
      <c r="I19" s="28"/>
      <c r="J19" s="28"/>
      <c r="K19" s="28"/>
    </row>
    <row r="20" spans="1:51" x14ac:dyDescent="0.15">
      <c r="A20" s="170" t="s">
        <v>31</v>
      </c>
      <c r="B20" s="170"/>
      <c r="C20" s="151"/>
      <c r="D20" s="24"/>
      <c r="E20" s="24"/>
      <c r="F20" s="24"/>
      <c r="G20" s="24"/>
      <c r="H20" s="24"/>
      <c r="I20" s="24"/>
      <c r="J20" s="24"/>
      <c r="K20" s="24"/>
    </row>
    <row r="21" spans="1:51" x14ac:dyDescent="0.15">
      <c r="A21" s="173" t="s">
        <v>32</v>
      </c>
      <c r="B21" s="173"/>
      <c r="C21" s="152"/>
      <c r="D21" s="31"/>
      <c r="E21" s="31"/>
      <c r="F21" s="31"/>
      <c r="G21" s="31"/>
      <c r="H21" s="31"/>
      <c r="I21" s="31"/>
      <c r="J21" s="31"/>
      <c r="K21" s="31"/>
    </row>
    <row r="22" spans="1:51" x14ac:dyDescent="0.15">
      <c r="A22" s="170" t="s">
        <v>33</v>
      </c>
      <c r="B22" s="170"/>
      <c r="C22" s="141"/>
      <c r="D22" s="30"/>
      <c r="E22" s="24"/>
      <c r="F22" s="24"/>
      <c r="G22" s="24"/>
      <c r="H22" s="24"/>
      <c r="I22" s="24"/>
      <c r="J22" s="24"/>
      <c r="K22" s="24"/>
    </row>
    <row r="23" spans="1:51" ht="14" thickBot="1" x14ac:dyDescent="0.2">
      <c r="C23" s="175"/>
      <c r="D23" s="175"/>
      <c r="E23" s="93"/>
      <c r="F23" s="175"/>
      <c r="G23" s="175"/>
      <c r="H23" s="91"/>
      <c r="I23" s="113"/>
    </row>
    <row r="24" spans="1:51" ht="14" thickTop="1" x14ac:dyDescent="0.15">
      <c r="A24" s="158" t="s">
        <v>60</v>
      </c>
      <c r="B24" s="160"/>
      <c r="C24" s="89" t="s">
        <v>1</v>
      </c>
      <c r="D24" s="90"/>
      <c r="E24" s="89" t="s">
        <v>2</v>
      </c>
      <c r="F24" s="90"/>
      <c r="G24" s="90"/>
      <c r="H24" s="92"/>
      <c r="I24" s="92"/>
      <c r="J24" s="35"/>
      <c r="K24" s="15" t="s">
        <v>3</v>
      </c>
      <c r="M24" s="121"/>
    </row>
    <row r="25" spans="1:51" ht="39" customHeight="1" thickBot="1" x14ac:dyDescent="0.2">
      <c r="A25" s="159"/>
      <c r="B25" s="161"/>
      <c r="C25" s="16" t="s">
        <v>4</v>
      </c>
      <c r="D25" s="17" t="s">
        <v>5</v>
      </c>
      <c r="E25" s="16" t="s">
        <v>28</v>
      </c>
      <c r="F25" s="18" t="s">
        <v>6</v>
      </c>
      <c r="G25" s="17" t="s">
        <v>29</v>
      </c>
      <c r="H25" s="36"/>
      <c r="I25" s="52" t="s">
        <v>47</v>
      </c>
      <c r="J25" s="94"/>
      <c r="K25" s="43" t="str">
        <f>CONCATENATE("Especificaciones &gt;= ",K57,"% ",F57)</f>
        <v>Especificaciones &gt;= 100% PM</v>
      </c>
    </row>
    <row r="26" spans="1:51" ht="14" thickTop="1" x14ac:dyDescent="0.15">
      <c r="A26" s="19" t="str">
        <f>IF(C20="","",C20)</f>
        <v/>
      </c>
      <c r="B26" s="95"/>
      <c r="C26" s="154"/>
      <c r="D26" s="153"/>
      <c r="E26" s="155"/>
      <c r="F26" s="100"/>
      <c r="G26" s="49" t="str">
        <f>IF(A26="","",E26/C26*100)</f>
        <v/>
      </c>
      <c r="H26" s="37" t="str">
        <f>IF(A26="","",E26/C26*100)</f>
        <v/>
      </c>
      <c r="I26" s="59">
        <v>1</v>
      </c>
      <c r="J26" s="99"/>
      <c r="K26" s="53"/>
      <c r="L26" s="32" t="e">
        <f t="shared" ref="L26:L41" si="0">$G$42</f>
        <v>#DIV/0!</v>
      </c>
      <c r="M26" s="132" t="e">
        <f>IF(I26=1,IF(A26="",#N/A,E26/C26*100),#N/A)</f>
        <v>#N/A</v>
      </c>
      <c r="N26" s="132" t="str">
        <f>IF(I26=0,"",G26)</f>
        <v/>
      </c>
      <c r="O26" s="132" t="e">
        <f>$G$42</f>
        <v>#DIV/0!</v>
      </c>
      <c r="P26" s="133">
        <f>$K$57</f>
        <v>100</v>
      </c>
      <c r="Q26" s="133">
        <f>P26-0.05</f>
        <v>99.95</v>
      </c>
      <c r="R26" s="133"/>
      <c r="S26" s="133">
        <f>P26*0.01</f>
        <v>1</v>
      </c>
      <c r="T26" s="120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</row>
    <row r="27" spans="1:51" x14ac:dyDescent="0.15">
      <c r="A27" s="20" t="str">
        <f>IF(ISERROR(IF(A26+1&lt;=$A$26+$C$21-1,A26+1,#N/A)),"",IF(A26+1&lt;=$A$26+$C$21-1,A26+1,#N/A))</f>
        <v/>
      </c>
      <c r="B27" s="96"/>
      <c r="C27" s="21" t="e">
        <f>IF(A27="",#N/A,IF(C26="",#N/A,C26))</f>
        <v>#N/A</v>
      </c>
      <c r="D27" s="41" t="e">
        <f>IF(A27="",#N/A,IF(D26="",#N/A,D26))</f>
        <v>#N/A</v>
      </c>
      <c r="E27" s="40"/>
      <c r="F27" s="101"/>
      <c r="G27" s="44" t="str">
        <f>IF(A27="","",E27/C27*100)</f>
        <v/>
      </c>
      <c r="H27" s="47" t="str">
        <f t="shared" ref="H27:H41" si="1">IF(A27="","",E27/C27*100)</f>
        <v/>
      </c>
      <c r="I27" s="60">
        <v>1</v>
      </c>
      <c r="J27" s="107"/>
      <c r="K27" s="54"/>
      <c r="L27" s="32" t="e">
        <f t="shared" si="0"/>
        <v>#DIV/0!</v>
      </c>
      <c r="M27" s="132" t="e">
        <f t="shared" ref="M27:M41" si="2">IF(I27=1,IF(A27="",#N/A,E27/C27*100),#N/A)</f>
        <v>#N/A</v>
      </c>
      <c r="N27" s="132" t="str">
        <f t="shared" ref="N27:N41" si="3">IF(I27=0,"",G27)</f>
        <v/>
      </c>
      <c r="O27" s="132" t="e">
        <f t="shared" ref="O27:O41" si="4">$G$42</f>
        <v>#DIV/0!</v>
      </c>
      <c r="P27" s="133">
        <f t="shared" ref="P27:P41" si="5">$K$57</f>
        <v>100</v>
      </c>
      <c r="Q27" s="133">
        <f t="shared" ref="Q27:Q41" si="6">P27-0.05</f>
        <v>99.95</v>
      </c>
      <c r="R27" s="133"/>
      <c r="S27" s="133"/>
      <c r="T27" s="120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6"/>
      <c r="AW27" s="66"/>
      <c r="AX27" s="66"/>
      <c r="AY27" s="66"/>
    </row>
    <row r="28" spans="1:51" x14ac:dyDescent="0.15">
      <c r="A28" s="20" t="str">
        <f t="shared" ref="A28:A41" si="7">IF(ISERROR(IF(A27+1&lt;=$A$26+$C$21-1,A27+1,#N/A)),"",IF(A27+1&lt;=$A$26+$C$21-1,A27+1,#N/A))</f>
        <v/>
      </c>
      <c r="B28" s="96"/>
      <c r="C28" s="21" t="e">
        <f t="shared" ref="C28:C41" si="8">IF(A28="",#N/A,IF(C27="",#N/A,C27))</f>
        <v>#N/A</v>
      </c>
      <c r="D28" s="41" t="e">
        <f t="shared" ref="D28:D41" si="9">IF(A28="",#N/A,IF(D27="",#N/A,D27))</f>
        <v>#N/A</v>
      </c>
      <c r="E28" s="33"/>
      <c r="F28" s="102"/>
      <c r="G28" s="44" t="str">
        <f t="shared" ref="G28:G41" si="10">IF(A28="","",E28/C28*100)</f>
        <v/>
      </c>
      <c r="H28" s="47" t="str">
        <f t="shared" si="1"/>
        <v/>
      </c>
      <c r="I28" s="60">
        <v>1</v>
      </c>
      <c r="J28" s="107"/>
      <c r="K28" s="54"/>
      <c r="L28" s="32" t="e">
        <f t="shared" si="0"/>
        <v>#DIV/0!</v>
      </c>
      <c r="M28" s="132" t="e">
        <f t="shared" si="2"/>
        <v>#N/A</v>
      </c>
      <c r="N28" s="132" t="str">
        <f t="shared" si="3"/>
        <v/>
      </c>
      <c r="O28" s="132" t="e">
        <f t="shared" si="4"/>
        <v>#DIV/0!</v>
      </c>
      <c r="P28" s="133">
        <f t="shared" si="5"/>
        <v>100</v>
      </c>
      <c r="Q28" s="133">
        <f t="shared" si="6"/>
        <v>99.95</v>
      </c>
      <c r="R28" s="133"/>
      <c r="S28" s="133"/>
      <c r="T28" s="65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</row>
    <row r="29" spans="1:51" x14ac:dyDescent="0.15">
      <c r="A29" s="20" t="str">
        <f t="shared" si="7"/>
        <v/>
      </c>
      <c r="B29" s="97"/>
      <c r="C29" s="21" t="e">
        <f t="shared" si="8"/>
        <v>#N/A</v>
      </c>
      <c r="D29" s="41" t="e">
        <f t="shared" si="9"/>
        <v>#N/A</v>
      </c>
      <c r="E29" s="33"/>
      <c r="F29" s="102"/>
      <c r="G29" s="44" t="str">
        <f t="shared" si="10"/>
        <v/>
      </c>
      <c r="H29" s="47" t="str">
        <f t="shared" si="1"/>
        <v/>
      </c>
      <c r="I29" s="60">
        <v>1</v>
      </c>
      <c r="J29" s="107"/>
      <c r="K29" s="54"/>
      <c r="L29" s="32" t="e">
        <f t="shared" si="0"/>
        <v>#DIV/0!</v>
      </c>
      <c r="M29" s="132" t="e">
        <f t="shared" si="2"/>
        <v>#N/A</v>
      </c>
      <c r="N29" s="132" t="str">
        <f t="shared" si="3"/>
        <v/>
      </c>
      <c r="O29" s="132" t="e">
        <f t="shared" si="4"/>
        <v>#DIV/0!</v>
      </c>
      <c r="P29" s="133">
        <f t="shared" si="5"/>
        <v>100</v>
      </c>
      <c r="Q29" s="133">
        <f t="shared" si="6"/>
        <v>99.95</v>
      </c>
      <c r="R29" s="133"/>
      <c r="S29" s="133"/>
      <c r="T29" s="65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6"/>
      <c r="AV29" s="66"/>
      <c r="AW29" s="66"/>
      <c r="AX29" s="66"/>
      <c r="AY29" s="66"/>
    </row>
    <row r="30" spans="1:51" x14ac:dyDescent="0.15">
      <c r="A30" s="20" t="str">
        <f t="shared" si="7"/>
        <v/>
      </c>
      <c r="B30" s="98"/>
      <c r="C30" s="21" t="e">
        <f t="shared" si="8"/>
        <v>#N/A</v>
      </c>
      <c r="D30" s="41" t="e">
        <f t="shared" si="9"/>
        <v>#N/A</v>
      </c>
      <c r="E30" s="33"/>
      <c r="F30" s="103"/>
      <c r="G30" s="44" t="str">
        <f t="shared" si="10"/>
        <v/>
      </c>
      <c r="H30" s="48" t="str">
        <f t="shared" si="1"/>
        <v/>
      </c>
      <c r="I30" s="61">
        <v>1</v>
      </c>
      <c r="J30" s="108"/>
      <c r="K30" s="55"/>
      <c r="L30" s="32" t="e">
        <f t="shared" si="0"/>
        <v>#DIV/0!</v>
      </c>
      <c r="M30" s="132" t="e">
        <f t="shared" si="2"/>
        <v>#N/A</v>
      </c>
      <c r="N30" s="132" t="str">
        <f t="shared" si="3"/>
        <v/>
      </c>
      <c r="O30" s="132" t="e">
        <f t="shared" si="4"/>
        <v>#DIV/0!</v>
      </c>
      <c r="P30" s="133">
        <f t="shared" si="5"/>
        <v>100</v>
      </c>
      <c r="Q30" s="133">
        <f t="shared" si="6"/>
        <v>99.95</v>
      </c>
      <c r="R30" s="133"/>
      <c r="S30" s="133"/>
      <c r="T30" s="65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6"/>
      <c r="AW30" s="66"/>
      <c r="AX30" s="66"/>
      <c r="AY30" s="66"/>
    </row>
    <row r="31" spans="1:51" x14ac:dyDescent="0.15">
      <c r="A31" s="20" t="str">
        <f t="shared" si="7"/>
        <v/>
      </c>
      <c r="B31" s="98"/>
      <c r="C31" s="21" t="e">
        <f t="shared" si="8"/>
        <v>#N/A</v>
      </c>
      <c r="D31" s="41" t="e">
        <f t="shared" si="9"/>
        <v>#N/A</v>
      </c>
      <c r="E31" s="33"/>
      <c r="F31" s="104"/>
      <c r="G31" s="44" t="str">
        <f t="shared" si="10"/>
        <v/>
      </c>
      <c r="H31" s="47" t="str">
        <f t="shared" si="1"/>
        <v/>
      </c>
      <c r="I31" s="60">
        <v>1</v>
      </c>
      <c r="J31" s="107"/>
      <c r="K31" s="54"/>
      <c r="L31" s="32" t="e">
        <f t="shared" si="0"/>
        <v>#DIV/0!</v>
      </c>
      <c r="M31" s="132" t="e">
        <f t="shared" si="2"/>
        <v>#N/A</v>
      </c>
      <c r="N31" s="132" t="str">
        <f>IF(I31=0,"",G31)</f>
        <v/>
      </c>
      <c r="O31" s="132" t="e">
        <f t="shared" si="4"/>
        <v>#DIV/0!</v>
      </c>
      <c r="P31" s="133">
        <f t="shared" si="5"/>
        <v>100</v>
      </c>
      <c r="Q31" s="133">
        <f t="shared" si="6"/>
        <v>99.95</v>
      </c>
      <c r="R31" s="133"/>
      <c r="S31" s="133"/>
      <c r="T31" s="65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</row>
    <row r="32" spans="1:51" x14ac:dyDescent="0.15">
      <c r="A32" s="20" t="str">
        <f t="shared" si="7"/>
        <v/>
      </c>
      <c r="B32" s="98"/>
      <c r="C32" s="21" t="e">
        <f t="shared" si="8"/>
        <v>#N/A</v>
      </c>
      <c r="D32" s="41" t="e">
        <f t="shared" si="9"/>
        <v>#N/A</v>
      </c>
      <c r="E32" s="33"/>
      <c r="F32" s="104"/>
      <c r="G32" s="44" t="str">
        <f t="shared" si="10"/>
        <v/>
      </c>
      <c r="H32" s="47" t="str">
        <f t="shared" si="1"/>
        <v/>
      </c>
      <c r="I32" s="60">
        <v>1</v>
      </c>
      <c r="J32" s="107"/>
      <c r="K32" s="54"/>
      <c r="L32" s="32" t="e">
        <f t="shared" si="0"/>
        <v>#DIV/0!</v>
      </c>
      <c r="M32" s="132" t="e">
        <f t="shared" si="2"/>
        <v>#N/A</v>
      </c>
      <c r="N32" s="132" t="str">
        <f t="shared" si="3"/>
        <v/>
      </c>
      <c r="O32" s="132" t="e">
        <f t="shared" si="4"/>
        <v>#DIV/0!</v>
      </c>
      <c r="P32" s="133">
        <f t="shared" si="5"/>
        <v>100</v>
      </c>
      <c r="Q32" s="133">
        <f t="shared" si="6"/>
        <v>99.95</v>
      </c>
      <c r="R32" s="133"/>
      <c r="S32" s="133"/>
      <c r="T32" s="65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</row>
    <row r="33" spans="1:51" x14ac:dyDescent="0.15">
      <c r="A33" s="20" t="str">
        <f t="shared" si="7"/>
        <v/>
      </c>
      <c r="B33" s="98"/>
      <c r="C33" s="21" t="e">
        <f t="shared" si="8"/>
        <v>#N/A</v>
      </c>
      <c r="D33" s="41" t="e">
        <f t="shared" si="9"/>
        <v>#N/A</v>
      </c>
      <c r="E33" s="33"/>
      <c r="F33" s="104"/>
      <c r="G33" s="44" t="str">
        <f t="shared" si="10"/>
        <v/>
      </c>
      <c r="H33" s="47" t="str">
        <f t="shared" si="1"/>
        <v/>
      </c>
      <c r="I33" s="60">
        <v>1</v>
      </c>
      <c r="J33" s="107"/>
      <c r="K33" s="54"/>
      <c r="L33" s="32" t="e">
        <f t="shared" si="0"/>
        <v>#DIV/0!</v>
      </c>
      <c r="M33" s="132" t="e">
        <f t="shared" si="2"/>
        <v>#N/A</v>
      </c>
      <c r="N33" s="132" t="str">
        <f>IF(I33=0,"",G33)</f>
        <v/>
      </c>
      <c r="O33" s="132" t="e">
        <f t="shared" si="4"/>
        <v>#DIV/0!</v>
      </c>
      <c r="P33" s="133">
        <f t="shared" si="5"/>
        <v>100</v>
      </c>
      <c r="Q33" s="133">
        <f t="shared" si="6"/>
        <v>99.95</v>
      </c>
      <c r="R33" s="133"/>
      <c r="S33" s="133"/>
      <c r="T33" s="65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6"/>
      <c r="AV33" s="66"/>
      <c r="AW33" s="66"/>
      <c r="AX33" s="66"/>
      <c r="AY33" s="66"/>
    </row>
    <row r="34" spans="1:51" x14ac:dyDescent="0.15">
      <c r="A34" s="20" t="str">
        <f t="shared" si="7"/>
        <v/>
      </c>
      <c r="B34" s="98"/>
      <c r="C34" s="21" t="e">
        <f t="shared" si="8"/>
        <v>#N/A</v>
      </c>
      <c r="D34" s="41" t="e">
        <f t="shared" si="9"/>
        <v>#N/A</v>
      </c>
      <c r="E34" s="33"/>
      <c r="F34" s="104"/>
      <c r="G34" s="44" t="str">
        <f t="shared" si="10"/>
        <v/>
      </c>
      <c r="H34" s="47" t="str">
        <f t="shared" si="1"/>
        <v/>
      </c>
      <c r="I34" s="60">
        <v>1</v>
      </c>
      <c r="J34" s="107"/>
      <c r="K34" s="54"/>
      <c r="L34" s="32" t="e">
        <f t="shared" si="0"/>
        <v>#DIV/0!</v>
      </c>
      <c r="M34" s="132" t="e">
        <f t="shared" si="2"/>
        <v>#N/A</v>
      </c>
      <c r="N34" s="132" t="str">
        <f t="shared" si="3"/>
        <v/>
      </c>
      <c r="O34" s="132" t="e">
        <f t="shared" si="4"/>
        <v>#DIV/0!</v>
      </c>
      <c r="P34" s="133">
        <f t="shared" si="5"/>
        <v>100</v>
      </c>
      <c r="Q34" s="133">
        <f t="shared" si="6"/>
        <v>99.95</v>
      </c>
      <c r="R34" s="133"/>
      <c r="S34" s="133"/>
      <c r="T34" s="65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6"/>
      <c r="AV34" s="66"/>
      <c r="AW34" s="66"/>
      <c r="AX34" s="66"/>
      <c r="AY34" s="66"/>
    </row>
    <row r="35" spans="1:51" x14ac:dyDescent="0.15">
      <c r="A35" s="20" t="str">
        <f t="shared" si="7"/>
        <v/>
      </c>
      <c r="B35" s="98"/>
      <c r="C35" s="21" t="e">
        <f t="shared" si="8"/>
        <v>#N/A</v>
      </c>
      <c r="D35" s="41" t="e">
        <f t="shared" si="9"/>
        <v>#N/A</v>
      </c>
      <c r="E35" s="33"/>
      <c r="F35" s="104"/>
      <c r="G35" s="44" t="str">
        <f t="shared" si="10"/>
        <v/>
      </c>
      <c r="H35" s="48" t="str">
        <f t="shared" si="1"/>
        <v/>
      </c>
      <c r="I35" s="61">
        <v>1</v>
      </c>
      <c r="J35" s="108"/>
      <c r="K35" s="55"/>
      <c r="L35" s="32" t="e">
        <f t="shared" si="0"/>
        <v>#DIV/0!</v>
      </c>
      <c r="M35" s="132" t="e">
        <f t="shared" si="2"/>
        <v>#N/A</v>
      </c>
      <c r="N35" s="132" t="str">
        <f t="shared" si="3"/>
        <v/>
      </c>
      <c r="O35" s="132" t="e">
        <f t="shared" si="4"/>
        <v>#DIV/0!</v>
      </c>
      <c r="P35" s="133">
        <f t="shared" si="5"/>
        <v>100</v>
      </c>
      <c r="Q35" s="133">
        <f t="shared" si="6"/>
        <v>99.95</v>
      </c>
      <c r="R35" s="133"/>
      <c r="S35" s="133"/>
      <c r="T35" s="65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6"/>
      <c r="AV35" s="66"/>
      <c r="AW35" s="66"/>
      <c r="AX35" s="66"/>
      <c r="AY35" s="66"/>
    </row>
    <row r="36" spans="1:51" x14ac:dyDescent="0.15">
      <c r="A36" s="20" t="str">
        <f t="shared" si="7"/>
        <v/>
      </c>
      <c r="B36" s="98"/>
      <c r="C36" s="21" t="e">
        <f t="shared" si="8"/>
        <v>#N/A</v>
      </c>
      <c r="D36" s="41" t="e">
        <f t="shared" si="9"/>
        <v>#N/A</v>
      </c>
      <c r="E36" s="33"/>
      <c r="F36" s="104"/>
      <c r="G36" s="44" t="str">
        <f t="shared" si="10"/>
        <v/>
      </c>
      <c r="H36" s="38" t="str">
        <f t="shared" si="1"/>
        <v/>
      </c>
      <c r="I36" s="62">
        <v>1</v>
      </c>
      <c r="J36" s="109"/>
      <c r="K36" s="56"/>
      <c r="L36" s="32" t="e">
        <f t="shared" si="0"/>
        <v>#DIV/0!</v>
      </c>
      <c r="M36" s="132" t="e">
        <f t="shared" si="2"/>
        <v>#N/A</v>
      </c>
      <c r="N36" s="132" t="str">
        <f t="shared" si="3"/>
        <v/>
      </c>
      <c r="O36" s="132" t="e">
        <f t="shared" si="4"/>
        <v>#DIV/0!</v>
      </c>
      <c r="P36" s="133">
        <f t="shared" si="5"/>
        <v>100</v>
      </c>
      <c r="Q36" s="133">
        <f t="shared" si="6"/>
        <v>99.95</v>
      </c>
      <c r="R36" s="133"/>
      <c r="S36" s="133"/>
      <c r="T36" s="65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6"/>
      <c r="AV36" s="66"/>
      <c r="AW36" s="66"/>
      <c r="AX36" s="66"/>
      <c r="AY36" s="66"/>
    </row>
    <row r="37" spans="1:51" x14ac:dyDescent="0.15">
      <c r="A37" s="20" t="str">
        <f t="shared" si="7"/>
        <v/>
      </c>
      <c r="B37" s="98"/>
      <c r="C37" s="21" t="e">
        <f t="shared" si="8"/>
        <v>#N/A</v>
      </c>
      <c r="D37" s="41" t="e">
        <f t="shared" si="9"/>
        <v>#N/A</v>
      </c>
      <c r="E37" s="33"/>
      <c r="F37" s="105"/>
      <c r="G37" s="44" t="str">
        <f t="shared" si="10"/>
        <v/>
      </c>
      <c r="H37" s="38" t="str">
        <f t="shared" si="1"/>
        <v/>
      </c>
      <c r="I37" s="62">
        <v>1</v>
      </c>
      <c r="J37" s="109"/>
      <c r="K37" s="56"/>
      <c r="L37" s="32" t="e">
        <f t="shared" si="0"/>
        <v>#DIV/0!</v>
      </c>
      <c r="M37" s="132" t="e">
        <f t="shared" si="2"/>
        <v>#N/A</v>
      </c>
      <c r="N37" s="132" t="str">
        <f t="shared" si="3"/>
        <v/>
      </c>
      <c r="O37" s="132" t="e">
        <f t="shared" si="4"/>
        <v>#DIV/0!</v>
      </c>
      <c r="P37" s="133">
        <f t="shared" si="5"/>
        <v>100</v>
      </c>
      <c r="Q37" s="133">
        <f t="shared" si="6"/>
        <v>99.95</v>
      </c>
      <c r="R37" s="133"/>
      <c r="S37" s="133"/>
      <c r="T37" s="65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6"/>
      <c r="AV37" s="66"/>
      <c r="AW37" s="66"/>
      <c r="AX37" s="66"/>
      <c r="AY37" s="66"/>
    </row>
    <row r="38" spans="1:51" x14ac:dyDescent="0.15">
      <c r="A38" s="20" t="str">
        <f t="shared" si="7"/>
        <v/>
      </c>
      <c r="B38" s="98"/>
      <c r="C38" s="21" t="e">
        <f t="shared" si="8"/>
        <v>#N/A</v>
      </c>
      <c r="D38" s="41" t="e">
        <f t="shared" si="9"/>
        <v>#N/A</v>
      </c>
      <c r="E38" s="33"/>
      <c r="F38" s="105"/>
      <c r="G38" s="44" t="str">
        <f t="shared" si="10"/>
        <v/>
      </c>
      <c r="H38" s="38" t="str">
        <f t="shared" si="1"/>
        <v/>
      </c>
      <c r="I38" s="62">
        <v>1</v>
      </c>
      <c r="J38" s="109"/>
      <c r="K38" s="56"/>
      <c r="L38" s="32" t="e">
        <f t="shared" si="0"/>
        <v>#DIV/0!</v>
      </c>
      <c r="M38" s="132" t="e">
        <f t="shared" si="2"/>
        <v>#N/A</v>
      </c>
      <c r="N38" s="132" t="str">
        <f t="shared" si="3"/>
        <v/>
      </c>
      <c r="O38" s="132" t="e">
        <f t="shared" si="4"/>
        <v>#DIV/0!</v>
      </c>
      <c r="P38" s="133">
        <f t="shared" si="5"/>
        <v>100</v>
      </c>
      <c r="Q38" s="133">
        <f t="shared" si="6"/>
        <v>99.95</v>
      </c>
      <c r="R38" s="133"/>
      <c r="S38" s="133"/>
      <c r="T38" s="65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6"/>
      <c r="AV38" s="66"/>
      <c r="AW38" s="66"/>
      <c r="AX38" s="66"/>
      <c r="AY38" s="66"/>
    </row>
    <row r="39" spans="1:51" x14ac:dyDescent="0.15">
      <c r="A39" s="20" t="str">
        <f t="shared" si="7"/>
        <v/>
      </c>
      <c r="B39" s="96"/>
      <c r="C39" s="21" t="e">
        <f t="shared" si="8"/>
        <v>#N/A</v>
      </c>
      <c r="D39" s="41" t="e">
        <f t="shared" si="9"/>
        <v>#N/A</v>
      </c>
      <c r="E39" s="33"/>
      <c r="F39" s="105"/>
      <c r="G39" s="44" t="str">
        <f t="shared" si="10"/>
        <v/>
      </c>
      <c r="H39" s="38" t="str">
        <f t="shared" si="1"/>
        <v/>
      </c>
      <c r="I39" s="62">
        <v>1</v>
      </c>
      <c r="J39" s="109"/>
      <c r="K39" s="44" t="str">
        <f>IF(E39="","",F39/G39*100)</f>
        <v/>
      </c>
      <c r="L39" s="32" t="e">
        <f t="shared" si="0"/>
        <v>#DIV/0!</v>
      </c>
      <c r="M39" s="132" t="e">
        <f t="shared" si="2"/>
        <v>#N/A</v>
      </c>
      <c r="N39" s="132" t="str">
        <f t="shared" si="3"/>
        <v/>
      </c>
      <c r="O39" s="132" t="e">
        <f t="shared" si="4"/>
        <v>#DIV/0!</v>
      </c>
      <c r="P39" s="133">
        <f t="shared" si="5"/>
        <v>100</v>
      </c>
      <c r="Q39" s="133">
        <f t="shared" si="6"/>
        <v>99.95</v>
      </c>
      <c r="R39" s="133"/>
      <c r="S39" s="133"/>
      <c r="T39" s="65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6"/>
      <c r="AV39" s="66"/>
      <c r="AW39" s="66"/>
      <c r="AX39" s="66"/>
      <c r="AY39" s="66"/>
    </row>
    <row r="40" spans="1:51" x14ac:dyDescent="0.15">
      <c r="A40" s="20" t="str">
        <f t="shared" si="7"/>
        <v/>
      </c>
      <c r="B40" s="96"/>
      <c r="C40" s="21" t="e">
        <f t="shared" si="8"/>
        <v>#N/A</v>
      </c>
      <c r="D40" s="41" t="e">
        <f t="shared" si="9"/>
        <v>#N/A</v>
      </c>
      <c r="E40" s="33"/>
      <c r="F40" s="105"/>
      <c r="G40" s="44" t="str">
        <f t="shared" si="10"/>
        <v/>
      </c>
      <c r="H40" s="38" t="str">
        <f t="shared" si="1"/>
        <v/>
      </c>
      <c r="I40" s="62">
        <v>1</v>
      </c>
      <c r="J40" s="109"/>
      <c r="K40" s="56"/>
      <c r="L40" s="32" t="e">
        <f t="shared" si="0"/>
        <v>#DIV/0!</v>
      </c>
      <c r="M40" s="132" t="e">
        <f t="shared" si="2"/>
        <v>#N/A</v>
      </c>
      <c r="N40" s="132" t="str">
        <f t="shared" si="3"/>
        <v/>
      </c>
      <c r="O40" s="132" t="e">
        <f t="shared" si="4"/>
        <v>#DIV/0!</v>
      </c>
      <c r="P40" s="133">
        <f t="shared" si="5"/>
        <v>100</v>
      </c>
      <c r="Q40" s="133">
        <f t="shared" si="6"/>
        <v>99.95</v>
      </c>
      <c r="R40" s="133"/>
      <c r="S40" s="133"/>
      <c r="T40" s="65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6"/>
      <c r="AV40" s="66"/>
      <c r="AW40" s="66"/>
      <c r="AX40" s="66"/>
      <c r="AY40" s="66"/>
    </row>
    <row r="41" spans="1:51" ht="14" thickBot="1" x14ac:dyDescent="0.2">
      <c r="A41" s="20" t="str">
        <f t="shared" si="7"/>
        <v/>
      </c>
      <c r="B41" s="96"/>
      <c r="C41" s="21" t="e">
        <f t="shared" si="8"/>
        <v>#N/A</v>
      </c>
      <c r="D41" s="41" t="e">
        <f t="shared" si="9"/>
        <v>#N/A</v>
      </c>
      <c r="E41" s="39"/>
      <c r="F41" s="106"/>
      <c r="G41" s="50" t="str">
        <f t="shared" si="10"/>
        <v/>
      </c>
      <c r="H41" s="38" t="str">
        <f t="shared" si="1"/>
        <v/>
      </c>
      <c r="I41" s="63">
        <v>1</v>
      </c>
      <c r="J41" s="109"/>
      <c r="K41" s="56"/>
      <c r="L41" s="32" t="e">
        <f t="shared" si="0"/>
        <v>#DIV/0!</v>
      </c>
      <c r="M41" s="132" t="e">
        <f t="shared" si="2"/>
        <v>#N/A</v>
      </c>
      <c r="N41" s="132" t="str">
        <f t="shared" si="3"/>
        <v/>
      </c>
      <c r="O41" s="132" t="e">
        <f t="shared" si="4"/>
        <v>#DIV/0!</v>
      </c>
      <c r="P41" s="133">
        <f t="shared" si="5"/>
        <v>100</v>
      </c>
      <c r="Q41" s="133">
        <f t="shared" si="6"/>
        <v>99.95</v>
      </c>
      <c r="R41" s="133"/>
      <c r="S41" s="133"/>
      <c r="T41" s="65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6"/>
      <c r="AV41" s="66"/>
      <c r="AW41" s="66"/>
      <c r="AX41" s="66"/>
      <c r="AY41" s="66"/>
    </row>
    <row r="42" spans="1:51" ht="14" thickTop="1" x14ac:dyDescent="0.15">
      <c r="A42" s="165" t="s">
        <v>7</v>
      </c>
      <c r="B42" s="166"/>
      <c r="C42" s="166"/>
      <c r="D42" s="167"/>
      <c r="E42" s="67" t="e">
        <f>AVERAGE(E26:E41)</f>
        <v>#DIV/0!</v>
      </c>
      <c r="F42" s="67" t="e">
        <f>AVERAGE(F26:F41)</f>
        <v>#DIV/0!</v>
      </c>
      <c r="G42" s="110" t="e">
        <f xml:space="preserve"> AVERAGE(N26:N41)</f>
        <v>#DIV/0!</v>
      </c>
      <c r="H42" s="111"/>
      <c r="I42" s="111"/>
      <c r="J42" s="112"/>
      <c r="K42" s="171" t="e">
        <f>IF(AVERAGE(G26:G41)&gt;G57,"CUMPLE","NO CUMPLE")</f>
        <v>#DIV/0!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6"/>
      <c r="AV42" s="66"/>
      <c r="AW42" s="66"/>
      <c r="AX42" s="66"/>
      <c r="AY42" s="66"/>
    </row>
    <row r="43" spans="1:51" ht="14" thickBot="1" x14ac:dyDescent="0.2">
      <c r="A43" s="168" t="s">
        <v>8</v>
      </c>
      <c r="B43" s="169"/>
      <c r="C43" s="169"/>
      <c r="D43" s="169"/>
      <c r="E43" s="68" t="e">
        <f>100*STDEV(E26:E41)/E42</f>
        <v>#DIV/0!</v>
      </c>
      <c r="F43" s="68" t="e">
        <f>100*STDEV(F26:F41)/F42</f>
        <v>#DIV/0!</v>
      </c>
      <c r="G43" s="162" t="e">
        <f>100*STDEV(N26:N41)/G42</f>
        <v>#DIV/0!</v>
      </c>
      <c r="H43" s="163"/>
      <c r="I43" s="163"/>
      <c r="J43" s="164"/>
      <c r="K43" s="172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</row>
    <row r="44" spans="1:51" ht="14" thickTop="1" x14ac:dyDescent="0.15"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</row>
    <row r="47" spans="1:51" x14ac:dyDescent="0.15">
      <c r="A47" s="156" t="s">
        <v>34</v>
      </c>
      <c r="B47" s="156"/>
    </row>
    <row r="48" spans="1:51" x14ac:dyDescent="0.15">
      <c r="A48" s="13" t="s">
        <v>36</v>
      </c>
      <c r="B48" s="46">
        <v>88</v>
      </c>
    </row>
    <row r="49" spans="1:11" x14ac:dyDescent="0.15">
      <c r="A49" s="13" t="s">
        <v>35</v>
      </c>
      <c r="B49" s="46">
        <v>105</v>
      </c>
    </row>
    <row r="50" spans="1:11" x14ac:dyDescent="0.15">
      <c r="A50" s="22" t="s">
        <v>37</v>
      </c>
      <c r="B50" s="46">
        <f>(B49-B48)/7</f>
        <v>2.4285714285714284</v>
      </c>
    </row>
    <row r="51" spans="1:11" x14ac:dyDescent="0.15">
      <c r="B51" s="51">
        <v>1</v>
      </c>
    </row>
    <row r="55" spans="1:11" ht="16" x14ac:dyDescent="0.2">
      <c r="A55" s="157" t="s">
        <v>38</v>
      </c>
      <c r="B55" s="157"/>
      <c r="C55" s="157"/>
      <c r="D55" s="157"/>
      <c r="E55" s="157"/>
      <c r="F55" s="157"/>
      <c r="G55" s="157"/>
      <c r="H55" s="157"/>
      <c r="I55" s="157"/>
      <c r="J55" s="157"/>
      <c r="K55" s="157"/>
    </row>
    <row r="56" spans="1:11" x14ac:dyDescent="0.15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spans="1:11" x14ac:dyDescent="0.15">
      <c r="A57" s="58">
        <v>1</v>
      </c>
      <c r="B57" s="58" t="s">
        <v>40</v>
      </c>
      <c r="C57" s="58">
        <v>1</v>
      </c>
      <c r="D57" s="58" t="s">
        <v>41</v>
      </c>
      <c r="E57" s="58"/>
      <c r="F57" s="58" t="s">
        <v>58</v>
      </c>
      <c r="G57" s="58">
        <f>K57-0.05</f>
        <v>99.95</v>
      </c>
      <c r="H57" s="58"/>
      <c r="I57" s="58"/>
      <c r="J57" s="58"/>
      <c r="K57" s="58">
        <v>100</v>
      </c>
    </row>
    <row r="58" spans="1:11" x14ac:dyDescent="0.15">
      <c r="A58" s="58">
        <v>2</v>
      </c>
      <c r="B58" s="58" t="s">
        <v>39</v>
      </c>
      <c r="C58" s="58">
        <v>2</v>
      </c>
      <c r="D58" s="58" t="s">
        <v>42</v>
      </c>
      <c r="E58" s="58"/>
      <c r="F58" s="58"/>
      <c r="G58" s="58"/>
      <c r="H58" s="58"/>
      <c r="I58" s="58"/>
      <c r="J58" s="58"/>
      <c r="K58" s="58"/>
    </row>
    <row r="59" spans="1:11" x14ac:dyDescent="0.15">
      <c r="A59" s="58">
        <v>3</v>
      </c>
      <c r="B59" s="58" t="s">
        <v>55</v>
      </c>
      <c r="C59" s="58">
        <v>3</v>
      </c>
      <c r="D59" s="58" t="s">
        <v>43</v>
      </c>
      <c r="E59" s="58"/>
      <c r="F59" s="58"/>
      <c r="G59" s="58"/>
      <c r="H59" s="58"/>
      <c r="I59" s="58"/>
      <c r="J59" s="58"/>
      <c r="K59" s="58"/>
    </row>
    <row r="60" spans="1:11" x14ac:dyDescent="0.15">
      <c r="A60" s="58">
        <v>4</v>
      </c>
      <c r="B60" s="58" t="s">
        <v>56</v>
      </c>
      <c r="C60" s="58">
        <v>4</v>
      </c>
      <c r="D60" s="58" t="s">
        <v>44</v>
      </c>
      <c r="E60" s="58"/>
      <c r="F60" s="58"/>
      <c r="G60" s="58"/>
      <c r="H60" s="58"/>
      <c r="I60" s="58"/>
      <c r="J60" s="58"/>
      <c r="K60" s="58"/>
    </row>
    <row r="61" spans="1:11" x14ac:dyDescent="0.15">
      <c r="A61" s="58">
        <v>5</v>
      </c>
      <c r="B61" s="58" t="s">
        <v>57</v>
      </c>
      <c r="C61" s="58">
        <v>5</v>
      </c>
      <c r="D61" s="58" t="s">
        <v>45</v>
      </c>
      <c r="E61" s="58"/>
      <c r="F61" s="58"/>
      <c r="G61" s="58"/>
      <c r="H61" s="58"/>
      <c r="I61" s="58"/>
      <c r="J61" s="58"/>
      <c r="K61" s="58"/>
    </row>
    <row r="62" spans="1:11" x14ac:dyDescent="0.15">
      <c r="A62" s="58">
        <v>6</v>
      </c>
      <c r="B62" s="58" t="s">
        <v>54</v>
      </c>
      <c r="C62" s="58">
        <v>6</v>
      </c>
      <c r="D62" s="58" t="s">
        <v>46</v>
      </c>
      <c r="E62" s="58"/>
      <c r="F62" s="58"/>
      <c r="G62" s="58"/>
      <c r="H62" s="58"/>
      <c r="I62" s="58"/>
      <c r="J62" s="58"/>
      <c r="K62" s="58"/>
    </row>
    <row r="63" spans="1:11" x14ac:dyDescent="0.15">
      <c r="A63" s="58">
        <v>7</v>
      </c>
      <c r="B63" s="58" t="s">
        <v>48</v>
      </c>
      <c r="C63" s="66"/>
      <c r="D63" s="66"/>
      <c r="E63" s="58"/>
      <c r="F63" s="58"/>
      <c r="G63" s="58"/>
      <c r="H63" s="58"/>
      <c r="I63" s="58"/>
      <c r="J63" s="58"/>
      <c r="K63" s="58"/>
    </row>
    <row r="64" spans="1:11" x14ac:dyDescent="0.15">
      <c r="A64" s="58">
        <v>8</v>
      </c>
      <c r="B64" s="58" t="s">
        <v>49</v>
      </c>
      <c r="C64" s="66"/>
      <c r="D64" s="66"/>
      <c r="E64" s="58"/>
      <c r="F64" s="58"/>
      <c r="G64" s="58"/>
      <c r="H64" s="58"/>
      <c r="I64" s="58"/>
      <c r="J64" s="58"/>
      <c r="K64" s="58"/>
    </row>
    <row r="65" spans="1:11" x14ac:dyDescent="0.15">
      <c r="A65" s="66">
        <v>9</v>
      </c>
      <c r="B65" s="58" t="s">
        <v>50</v>
      </c>
      <c r="C65" s="66"/>
      <c r="D65" s="66"/>
      <c r="E65" s="66"/>
      <c r="F65" s="66"/>
      <c r="G65" s="66"/>
      <c r="H65" s="66"/>
      <c r="I65" s="66"/>
      <c r="J65" s="66"/>
      <c r="K65" s="66"/>
    </row>
    <row r="66" spans="1:11" x14ac:dyDescent="0.15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</row>
  </sheetData>
  <mergeCells count="27">
    <mergeCell ref="C23:D23"/>
    <mergeCell ref="F23:G23"/>
    <mergeCell ref="A8:B8"/>
    <mergeCell ref="A17:B17"/>
    <mergeCell ref="A19:B19"/>
    <mergeCell ref="A20:B20"/>
    <mergeCell ref="A9:B9"/>
    <mergeCell ref="A11:B11"/>
    <mergeCell ref="A13:B13"/>
    <mergeCell ref="A15:B15"/>
    <mergeCell ref="A22:B22"/>
    <mergeCell ref="K42:K43"/>
    <mergeCell ref="A21:B21"/>
    <mergeCell ref="A1:B1"/>
    <mergeCell ref="A2:B2"/>
    <mergeCell ref="A3:B3"/>
    <mergeCell ref="A4:B4"/>
    <mergeCell ref="A5:B5"/>
    <mergeCell ref="A6:B6"/>
    <mergeCell ref="A7:B7"/>
    <mergeCell ref="A47:B47"/>
    <mergeCell ref="A55:K55"/>
    <mergeCell ref="A24:A25"/>
    <mergeCell ref="B24:B25"/>
    <mergeCell ref="G43:J43"/>
    <mergeCell ref="A42:D42"/>
    <mergeCell ref="A43:D43"/>
  </mergeCells>
  <phoneticPr fontId="3" type="noConversion"/>
  <conditionalFormatting sqref="A26:B41 C26:D26">
    <cfRule type="expression" dxfId="9" priority="1" stopIfTrue="1">
      <formula>$A26=""</formula>
    </cfRule>
  </conditionalFormatting>
  <conditionalFormatting sqref="E26:F41">
    <cfRule type="expression" dxfId="8" priority="2" stopIfTrue="1">
      <formula>$A26&lt;&gt;""</formula>
    </cfRule>
  </conditionalFormatting>
  <conditionalFormatting sqref="K26:K41 G26:H41">
    <cfRule type="expression" dxfId="7" priority="3" stopIfTrue="1">
      <formula>$A26=""</formula>
    </cfRule>
    <cfRule type="expression" dxfId="6" priority="4" stopIfTrue="1">
      <formula>ISERROR(G26)</formula>
    </cfRule>
  </conditionalFormatting>
  <conditionalFormatting sqref="C27:D41">
    <cfRule type="expression" dxfId="5" priority="5" stopIfTrue="1">
      <formula>$A27=""</formula>
    </cfRule>
    <cfRule type="expression" dxfId="4" priority="6" stopIfTrue="1">
      <formula>ISERROR(C27)</formula>
    </cfRule>
  </conditionalFormatting>
  <conditionalFormatting sqref="I26:J41">
    <cfRule type="expression" dxfId="3" priority="7" stopIfTrue="1">
      <formula>$A26=""</formula>
    </cfRule>
    <cfRule type="expression" dxfId="2" priority="8" stopIfTrue="1">
      <formula>ISERROR(I26)</formula>
    </cfRule>
  </conditionalFormatting>
  <pageMargins left="0.75" right="0.75" top="1" bottom="1" header="0" footer="0"/>
  <pageSetup paperSize="9" scale="49" orientation="portrait" horizontalDpi="300" verticalDpi="300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28" r:id="rId3" name="Drop Down 56">
              <controlPr locked="0" defaultSize="0" autoLine="0" autoPict="0" macro="[0]!Espec">
                <anchor moveWithCells="1">
                  <from>
                    <xdr:col>3</xdr:col>
                    <xdr:colOff>0</xdr:colOff>
                    <xdr:row>2</xdr:row>
                    <xdr:rowOff>0</xdr:rowOff>
                  </from>
                  <to>
                    <xdr:col>4</xdr:col>
                    <xdr:colOff>114300</xdr:colOff>
                    <xdr:row>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4" name="Drop Down 58">
              <controlPr defaultSize="0" autoLine="0" autoPict="0" macro="[0]!Pred">
                <anchor moveWithCells="1">
                  <from>
                    <xdr:col>2</xdr:col>
                    <xdr:colOff>0</xdr:colOff>
                    <xdr:row>2</xdr:row>
                    <xdr:rowOff>0</xdr:rowOff>
                  </from>
                  <to>
                    <xdr:col>3</xdr:col>
                    <xdr:colOff>0</xdr:colOff>
                    <xdr:row>2</xdr:row>
                    <xdr:rowOff>203200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5" name="Button 59">
              <controlPr defaultSize="0" print="0" autoFill="0" autoPict="0" macro="[0]!VerInf">
                <anchor moveWithCells="1" sizeWithCells="1">
                  <from>
                    <xdr:col>8</xdr:col>
                    <xdr:colOff>203200</xdr:colOff>
                    <xdr:row>0</xdr:row>
                    <xdr:rowOff>114300</xdr:rowOff>
                  </from>
                  <to>
                    <xdr:col>10</xdr:col>
                    <xdr:colOff>431800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" name="Button 60">
              <controlPr defaultSize="0" print="0" autoFill="0" autoPict="0" macro="[0]!SaveAs">
                <anchor moveWithCells="1" sizeWithCells="1">
                  <from>
                    <xdr:col>10</xdr:col>
                    <xdr:colOff>520700</xdr:colOff>
                    <xdr:row>0</xdr:row>
                    <xdr:rowOff>114300</xdr:rowOff>
                  </from>
                  <to>
                    <xdr:col>10</xdr:col>
                    <xdr:colOff>1816100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D2AFE-C58E-8444-A611-6A32A118EAC6}">
  <sheetPr codeName="Hoja1"/>
  <dimension ref="A1:M64"/>
  <sheetViews>
    <sheetView showGridLines="0" view="pageBreakPreview" topLeftCell="A21" zoomScaleNormal="100" zoomScaleSheetLayoutView="100" workbookViewId="0">
      <selection activeCell="A5" sqref="A5"/>
    </sheetView>
  </sheetViews>
  <sheetFormatPr baseColWidth="10" defaultColWidth="11.5" defaultRowHeight="13" x14ac:dyDescent="0.15"/>
  <cols>
    <col min="1" max="1" width="17.83203125" style="1" customWidth="1"/>
    <col min="2" max="3" width="14.6640625" style="1" customWidth="1"/>
    <col min="4" max="7" width="9.5" style="1" customWidth="1"/>
    <col min="8" max="8" width="15.33203125" style="1" customWidth="1"/>
    <col min="9" max="9" width="13.5" style="1" customWidth="1"/>
    <col min="10" max="10" width="26.6640625" style="1" bestFit="1" customWidth="1"/>
    <col min="11" max="16384" width="11.5" style="1"/>
  </cols>
  <sheetData>
    <row r="1" spans="1:10" ht="9.75" customHeight="1" thickBot="1" x14ac:dyDescent="0.2">
      <c r="A1" s="72"/>
      <c r="B1" s="72"/>
      <c r="C1" s="72"/>
      <c r="D1" s="72"/>
      <c r="E1" s="72"/>
      <c r="F1" s="72"/>
      <c r="G1" s="72"/>
      <c r="H1" s="72"/>
      <c r="I1" s="4"/>
      <c r="J1" s="4"/>
    </row>
    <row r="2" spans="1:10" ht="18.75" customHeight="1" x14ac:dyDescent="0.15">
      <c r="A2" s="226" t="s">
        <v>66</v>
      </c>
      <c r="B2" s="226"/>
      <c r="C2" s="226"/>
      <c r="D2" s="226"/>
      <c r="E2" s="226"/>
      <c r="F2" s="226"/>
      <c r="G2" s="226"/>
      <c r="H2" s="226"/>
      <c r="I2" s="69"/>
      <c r="J2" s="69"/>
    </row>
    <row r="3" spans="1:10" ht="7.5" customHeight="1" x14ac:dyDescent="0.15">
      <c r="A3" s="2"/>
      <c r="B3" s="3"/>
      <c r="C3" s="4"/>
      <c r="D3" s="4"/>
      <c r="E3" s="4"/>
      <c r="F3" s="4"/>
      <c r="G3" s="4"/>
      <c r="H3" s="4"/>
      <c r="I3" s="69"/>
      <c r="J3" s="69"/>
    </row>
    <row r="4" spans="1:10" x14ac:dyDescent="0.15">
      <c r="A4" s="227" t="str">
        <f>CONCATENATE("Obra: ",DATINF!C4)</f>
        <v xml:space="preserve">Obra: </v>
      </c>
      <c r="B4" s="228"/>
      <c r="C4" s="228"/>
      <c r="D4" s="228"/>
      <c r="E4" s="228"/>
      <c r="F4" s="228"/>
      <c r="G4" s="228"/>
      <c r="H4" s="229"/>
      <c r="I4" s="69"/>
      <c r="J4" s="69"/>
    </row>
    <row r="5" spans="1:10" x14ac:dyDescent="0.15">
      <c r="A5" s="73" t="str">
        <f>CONCATENATE("Ref. Obra: ",DATINF!C5)</f>
        <v xml:space="preserve">Ref. Obra: </v>
      </c>
      <c r="B5" s="74"/>
      <c r="C5" s="75" t="str">
        <f>CONCATENATE("Orden de trabajo: ",DATINF!C7)</f>
        <v xml:space="preserve">Orden de trabajo: </v>
      </c>
      <c r="D5" s="75"/>
      <c r="E5" s="75"/>
      <c r="F5" s="75"/>
      <c r="G5" s="75" t="str">
        <f>CONCATENATE("Capa: ",VLOOKUP(DATINF!C3,DATINF!A57:B65,2))</f>
        <v>Capa: Coronación</v>
      </c>
      <c r="H5" s="84"/>
      <c r="I5" s="69"/>
      <c r="J5" s="69"/>
    </row>
    <row r="6" spans="1:10" x14ac:dyDescent="0.15">
      <c r="A6" s="76" t="str">
        <f>CONCATENATE("Localización: ",DATINF!C8)</f>
        <v xml:space="preserve">Localización: </v>
      </c>
      <c r="B6" s="77"/>
      <c r="C6" s="77"/>
      <c r="D6" s="77"/>
      <c r="E6" s="77"/>
      <c r="F6" s="77"/>
      <c r="G6" s="75" t="str">
        <f>CONCATENATE("Nº Lote: ",DATINF!C19)</f>
        <v xml:space="preserve">Nº Lote: </v>
      </c>
      <c r="H6" s="85"/>
      <c r="I6" s="69"/>
      <c r="J6" s="69"/>
    </row>
    <row r="7" spans="1:10" x14ac:dyDescent="0.15">
      <c r="A7" s="78" t="str">
        <f>CONCATENATE("Observaciones: ",DATINF!C22)</f>
        <v xml:space="preserve">Observaciones: </v>
      </c>
      <c r="B7" s="79"/>
      <c r="C7" s="79"/>
      <c r="D7" s="79"/>
      <c r="E7" s="79"/>
      <c r="F7" s="79"/>
      <c r="G7" s="80"/>
      <c r="H7" s="86"/>
      <c r="I7" s="69"/>
      <c r="J7" s="69"/>
    </row>
    <row r="8" spans="1:10" ht="10" customHeight="1" x14ac:dyDescent="0.15">
      <c r="A8" s="81"/>
      <c r="B8" s="82"/>
      <c r="C8" s="5"/>
      <c r="D8" s="5"/>
      <c r="E8" s="83"/>
      <c r="F8" s="83"/>
      <c r="G8" s="83"/>
      <c r="H8" s="83"/>
      <c r="I8" s="69"/>
      <c r="J8" s="69"/>
    </row>
    <row r="9" spans="1:10" x14ac:dyDescent="0.15">
      <c r="A9" s="5" t="s">
        <v>0</v>
      </c>
      <c r="B9" s="81"/>
      <c r="C9" s="81"/>
      <c r="D9" s="81"/>
      <c r="E9" s="230" t="s">
        <v>51</v>
      </c>
      <c r="F9" s="230"/>
      <c r="G9" s="230"/>
      <c r="H9" s="87">
        <f>DATINF!C1</f>
        <v>0</v>
      </c>
      <c r="I9" s="69"/>
      <c r="J9" s="69"/>
    </row>
    <row r="10" spans="1:10" ht="10" customHeight="1" thickBot="1" x14ac:dyDescent="0.2">
      <c r="A10" s="81"/>
      <c r="B10" s="81"/>
      <c r="C10" s="81"/>
      <c r="D10" s="81"/>
      <c r="E10" s="81"/>
      <c r="F10" s="81"/>
      <c r="G10" s="81"/>
      <c r="H10" s="81"/>
      <c r="I10" s="69"/>
      <c r="J10" s="69"/>
    </row>
    <row r="11" spans="1:10" ht="14" thickTop="1" x14ac:dyDescent="0.15">
      <c r="A11" s="207" t="str">
        <f>DATINF!A24</f>
        <v>Nº ensayo</v>
      </c>
      <c r="B11" s="231" t="s">
        <v>1</v>
      </c>
      <c r="C11" s="232"/>
      <c r="D11" s="233" t="s">
        <v>2</v>
      </c>
      <c r="E11" s="234"/>
      <c r="F11" s="234"/>
      <c r="G11" s="234"/>
      <c r="H11" s="235"/>
      <c r="I11" s="69"/>
      <c r="J11" s="69"/>
    </row>
    <row r="12" spans="1:10" ht="24" customHeight="1" x14ac:dyDescent="0.15">
      <c r="A12" s="205"/>
      <c r="B12" s="213" t="s">
        <v>68</v>
      </c>
      <c r="C12" s="214"/>
      <c r="D12" s="213" t="s">
        <v>72</v>
      </c>
      <c r="E12" s="242"/>
      <c r="F12" s="242"/>
      <c r="G12" s="214"/>
      <c r="H12" s="204" t="s">
        <v>71</v>
      </c>
      <c r="I12" s="69"/>
      <c r="J12" s="69"/>
    </row>
    <row r="13" spans="1:10" ht="15" customHeight="1" x14ac:dyDescent="0.15">
      <c r="A13" s="205"/>
      <c r="B13" s="236" t="s">
        <v>59</v>
      </c>
      <c r="C13" s="211" t="s">
        <v>52</v>
      </c>
      <c r="D13" s="238" t="s">
        <v>67</v>
      </c>
      <c r="E13" s="239"/>
      <c r="F13" s="222" t="s">
        <v>53</v>
      </c>
      <c r="G13" s="223"/>
      <c r="H13" s="205"/>
      <c r="I13" s="124"/>
      <c r="J13" s="124"/>
    </row>
    <row r="14" spans="1:10" ht="15" customHeight="1" thickBot="1" x14ac:dyDescent="0.2">
      <c r="A14" s="206"/>
      <c r="B14" s="237"/>
      <c r="C14" s="212"/>
      <c r="D14" s="240"/>
      <c r="E14" s="241"/>
      <c r="F14" s="224"/>
      <c r="G14" s="225"/>
      <c r="H14" s="206"/>
      <c r="I14" s="124"/>
      <c r="J14" s="124"/>
    </row>
    <row r="15" spans="1:10" ht="13" customHeight="1" thickTop="1" x14ac:dyDescent="0.15">
      <c r="A15" s="114"/>
      <c r="B15" s="115">
        <f>DATINF!C26</f>
        <v>0</v>
      </c>
      <c r="C15" s="116">
        <f>DATINF!D26</f>
        <v>0</v>
      </c>
      <c r="D15" s="200">
        <f>DATINF!E26</f>
        <v>0</v>
      </c>
      <c r="E15" s="201"/>
      <c r="F15" s="184">
        <f>DATINF!F26</f>
        <v>0</v>
      </c>
      <c r="G15" s="185"/>
      <c r="H15" s="129" t="str">
        <f>DATINF!G26</f>
        <v/>
      </c>
      <c r="I15" s="69"/>
      <c r="J15" s="88"/>
    </row>
    <row r="16" spans="1:10" ht="13" customHeight="1" x14ac:dyDescent="0.15">
      <c r="A16" s="117"/>
      <c r="B16" s="118" t="e">
        <f>DATINF!C27</f>
        <v>#N/A</v>
      </c>
      <c r="C16" s="119" t="e">
        <f>DATINF!D27</f>
        <v>#N/A</v>
      </c>
      <c r="D16" s="186">
        <f>DATINF!E27</f>
        <v>0</v>
      </c>
      <c r="E16" s="187"/>
      <c r="F16" s="178">
        <f>DATINF!F27</f>
        <v>0</v>
      </c>
      <c r="G16" s="179"/>
      <c r="H16" s="130" t="str">
        <f>DATINF!G27</f>
        <v/>
      </c>
      <c r="I16" s="69"/>
      <c r="J16" s="88"/>
    </row>
    <row r="17" spans="1:10" ht="13" customHeight="1" x14ac:dyDescent="0.15">
      <c r="A17" s="117"/>
      <c r="B17" s="118" t="e">
        <f>DATINF!C28</f>
        <v>#N/A</v>
      </c>
      <c r="C17" s="119" t="e">
        <f>DATINF!D28</f>
        <v>#N/A</v>
      </c>
      <c r="D17" s="186">
        <f>DATINF!E28</f>
        <v>0</v>
      </c>
      <c r="E17" s="187"/>
      <c r="F17" s="178">
        <f>DATINF!F28</f>
        <v>0</v>
      </c>
      <c r="G17" s="179"/>
      <c r="H17" s="130" t="str">
        <f>DATINF!G28</f>
        <v/>
      </c>
      <c r="I17" s="69"/>
      <c r="J17" s="88"/>
    </row>
    <row r="18" spans="1:10" ht="13" customHeight="1" x14ac:dyDescent="0.15">
      <c r="A18" s="117"/>
      <c r="B18" s="118" t="e">
        <f>DATINF!C29</f>
        <v>#N/A</v>
      </c>
      <c r="C18" s="119" t="e">
        <f>DATINF!D29</f>
        <v>#N/A</v>
      </c>
      <c r="D18" s="186">
        <f>DATINF!E29</f>
        <v>0</v>
      </c>
      <c r="E18" s="187"/>
      <c r="F18" s="178">
        <f>DATINF!F29</f>
        <v>0</v>
      </c>
      <c r="G18" s="179"/>
      <c r="H18" s="130" t="str">
        <f>DATINF!G29</f>
        <v/>
      </c>
      <c r="I18" s="69"/>
      <c r="J18" s="88"/>
    </row>
    <row r="19" spans="1:10" ht="13" customHeight="1" x14ac:dyDescent="0.15">
      <c r="A19" s="117"/>
      <c r="B19" s="118" t="e">
        <f>DATINF!C30</f>
        <v>#N/A</v>
      </c>
      <c r="C19" s="119" t="e">
        <f>DATINF!D30</f>
        <v>#N/A</v>
      </c>
      <c r="D19" s="186">
        <f>DATINF!E30</f>
        <v>0</v>
      </c>
      <c r="E19" s="187"/>
      <c r="F19" s="178">
        <f>DATINF!F30</f>
        <v>0</v>
      </c>
      <c r="G19" s="179"/>
      <c r="H19" s="130" t="str">
        <f>DATINF!G30</f>
        <v/>
      </c>
      <c r="I19" s="69"/>
      <c r="J19" s="88"/>
    </row>
    <row r="20" spans="1:10" ht="13" customHeight="1" x14ac:dyDescent="0.15">
      <c r="A20" s="117" t="str">
        <f>DATINF!A31</f>
        <v/>
      </c>
      <c r="B20" s="118" t="e">
        <f>DATINF!C31</f>
        <v>#N/A</v>
      </c>
      <c r="C20" s="119" t="e">
        <f>DATINF!D31</f>
        <v>#N/A</v>
      </c>
      <c r="D20" s="186">
        <f>DATINF!E31</f>
        <v>0</v>
      </c>
      <c r="E20" s="187"/>
      <c r="F20" s="178">
        <f>DATINF!F31</f>
        <v>0</v>
      </c>
      <c r="G20" s="179"/>
      <c r="H20" s="130" t="str">
        <f>DATINF!G31</f>
        <v/>
      </c>
      <c r="I20" s="69"/>
      <c r="J20" s="88"/>
    </row>
    <row r="21" spans="1:10" ht="13" customHeight="1" x14ac:dyDescent="0.15">
      <c r="A21" s="117" t="str">
        <f>DATINF!A32</f>
        <v/>
      </c>
      <c r="B21" s="118" t="e">
        <f>DATINF!C32</f>
        <v>#N/A</v>
      </c>
      <c r="C21" s="119" t="e">
        <f>DATINF!D32</f>
        <v>#N/A</v>
      </c>
      <c r="D21" s="186">
        <f>DATINF!E32</f>
        <v>0</v>
      </c>
      <c r="E21" s="187"/>
      <c r="F21" s="178">
        <f>DATINF!F32</f>
        <v>0</v>
      </c>
      <c r="G21" s="179"/>
      <c r="H21" s="130" t="str">
        <f>DATINF!G32</f>
        <v/>
      </c>
      <c r="I21" s="69"/>
      <c r="J21" s="88"/>
    </row>
    <row r="22" spans="1:10" ht="13" customHeight="1" x14ac:dyDescent="0.15">
      <c r="A22" s="117" t="str">
        <f>DATINF!A33</f>
        <v/>
      </c>
      <c r="B22" s="118" t="e">
        <f>DATINF!C33</f>
        <v>#N/A</v>
      </c>
      <c r="C22" s="119" t="e">
        <f>DATINF!D33</f>
        <v>#N/A</v>
      </c>
      <c r="D22" s="182">
        <f>DATINF!E33</f>
        <v>0</v>
      </c>
      <c r="E22" s="178"/>
      <c r="F22" s="178">
        <f>DATINF!F33</f>
        <v>0</v>
      </c>
      <c r="G22" s="179"/>
      <c r="H22" s="130" t="str">
        <f>DATINF!G33</f>
        <v/>
      </c>
      <c r="I22" s="69"/>
      <c r="J22" s="88"/>
    </row>
    <row r="23" spans="1:10" ht="13" customHeight="1" x14ac:dyDescent="0.15">
      <c r="A23" s="117" t="str">
        <f>DATINF!A34</f>
        <v/>
      </c>
      <c r="B23" s="118" t="e">
        <f>DATINF!C34</f>
        <v>#N/A</v>
      </c>
      <c r="C23" s="119" t="e">
        <f>DATINF!D34</f>
        <v>#N/A</v>
      </c>
      <c r="D23" s="182">
        <f>DATINF!E34</f>
        <v>0</v>
      </c>
      <c r="E23" s="178"/>
      <c r="F23" s="178">
        <f>DATINF!F34</f>
        <v>0</v>
      </c>
      <c r="G23" s="179"/>
      <c r="H23" s="130" t="str">
        <f>DATINF!G34</f>
        <v/>
      </c>
      <c r="I23" s="69"/>
      <c r="J23" s="88"/>
    </row>
    <row r="24" spans="1:10" ht="13" customHeight="1" x14ac:dyDescent="0.15">
      <c r="A24" s="117" t="str">
        <f>DATINF!A35</f>
        <v/>
      </c>
      <c r="B24" s="118" t="e">
        <f>DATINF!C35</f>
        <v>#N/A</v>
      </c>
      <c r="C24" s="119" t="e">
        <f>DATINF!D35</f>
        <v>#N/A</v>
      </c>
      <c r="D24" s="182">
        <f>DATINF!E35</f>
        <v>0</v>
      </c>
      <c r="E24" s="178"/>
      <c r="F24" s="178">
        <f>DATINF!F35</f>
        <v>0</v>
      </c>
      <c r="G24" s="179"/>
      <c r="H24" s="130" t="str">
        <f>DATINF!G35</f>
        <v/>
      </c>
      <c r="I24" s="69"/>
      <c r="J24" s="88"/>
    </row>
    <row r="25" spans="1:10" ht="13" customHeight="1" x14ac:dyDescent="0.15">
      <c r="A25" s="117" t="str">
        <f>DATINF!A36</f>
        <v/>
      </c>
      <c r="B25" s="118" t="e">
        <f>DATINF!C36</f>
        <v>#N/A</v>
      </c>
      <c r="C25" s="119" t="e">
        <f>DATINF!D36</f>
        <v>#N/A</v>
      </c>
      <c r="D25" s="182">
        <f>DATINF!E36</f>
        <v>0</v>
      </c>
      <c r="E25" s="178"/>
      <c r="F25" s="178">
        <f>DATINF!F36</f>
        <v>0</v>
      </c>
      <c r="G25" s="179"/>
      <c r="H25" s="130" t="str">
        <f>DATINF!G36</f>
        <v/>
      </c>
      <c r="I25" s="69"/>
      <c r="J25" s="88"/>
    </row>
    <row r="26" spans="1:10" ht="13" customHeight="1" x14ac:dyDescent="0.15">
      <c r="A26" s="117" t="str">
        <f>DATINF!A37</f>
        <v/>
      </c>
      <c r="B26" s="118" t="e">
        <f>DATINF!C37</f>
        <v>#N/A</v>
      </c>
      <c r="C26" s="119" t="e">
        <f>DATINF!D37</f>
        <v>#N/A</v>
      </c>
      <c r="D26" s="182">
        <f>DATINF!E37</f>
        <v>0</v>
      </c>
      <c r="E26" s="178"/>
      <c r="F26" s="178">
        <f>DATINF!F37</f>
        <v>0</v>
      </c>
      <c r="G26" s="179"/>
      <c r="H26" s="130" t="str">
        <f>DATINF!G37</f>
        <v/>
      </c>
      <c r="I26" s="69"/>
      <c r="J26" s="88"/>
    </row>
    <row r="27" spans="1:10" ht="13" customHeight="1" x14ac:dyDescent="0.15">
      <c r="A27" s="117" t="str">
        <f>DATINF!A38</f>
        <v/>
      </c>
      <c r="B27" s="118" t="e">
        <f>DATINF!C38</f>
        <v>#N/A</v>
      </c>
      <c r="C27" s="119" t="e">
        <f>DATINF!D38</f>
        <v>#N/A</v>
      </c>
      <c r="D27" s="182">
        <f>DATINF!E38</f>
        <v>0</v>
      </c>
      <c r="E27" s="178"/>
      <c r="F27" s="178">
        <f>DATINF!F38</f>
        <v>0</v>
      </c>
      <c r="G27" s="179"/>
      <c r="H27" s="130" t="str">
        <f>DATINF!G38</f>
        <v/>
      </c>
      <c r="I27" s="69"/>
      <c r="J27" s="88"/>
    </row>
    <row r="28" spans="1:10" ht="13" customHeight="1" x14ac:dyDescent="0.15">
      <c r="A28" s="117" t="str">
        <f>DATINF!A39</f>
        <v/>
      </c>
      <c r="B28" s="118" t="e">
        <f>DATINF!C39</f>
        <v>#N/A</v>
      </c>
      <c r="C28" s="119" t="e">
        <f>DATINF!D39</f>
        <v>#N/A</v>
      </c>
      <c r="D28" s="182">
        <f>DATINF!E39</f>
        <v>0</v>
      </c>
      <c r="E28" s="178"/>
      <c r="F28" s="178">
        <f>DATINF!F39</f>
        <v>0</v>
      </c>
      <c r="G28" s="179"/>
      <c r="H28" s="130" t="str">
        <f>DATINF!G39</f>
        <v/>
      </c>
      <c r="I28" s="69"/>
      <c r="J28" s="88"/>
    </row>
    <row r="29" spans="1:10" ht="13" customHeight="1" thickBot="1" x14ac:dyDescent="0.2">
      <c r="A29" s="125" t="str">
        <f>DATINF!A40</f>
        <v/>
      </c>
      <c r="B29" s="126" t="e">
        <f>DATINF!C40</f>
        <v>#N/A</v>
      </c>
      <c r="C29" s="127" t="e">
        <f>DATINF!D40</f>
        <v>#N/A</v>
      </c>
      <c r="D29" s="183">
        <f>DATINF!E40</f>
        <v>0</v>
      </c>
      <c r="E29" s="180"/>
      <c r="F29" s="180">
        <f>DATINF!F40</f>
        <v>0</v>
      </c>
      <c r="G29" s="181"/>
      <c r="H29" s="131" t="str">
        <f>DATINF!G40</f>
        <v/>
      </c>
      <c r="I29" s="69"/>
      <c r="J29" s="88"/>
    </row>
    <row r="30" spans="1:10" ht="20" customHeight="1" thickTop="1" x14ac:dyDescent="0.15">
      <c r="A30" s="194" t="s">
        <v>7</v>
      </c>
      <c r="B30" s="195"/>
      <c r="C30" s="195"/>
      <c r="D30" s="218" t="e">
        <f>DATINF!E42</f>
        <v>#DIV/0!</v>
      </c>
      <c r="E30" s="219"/>
      <c r="F30" s="196" t="e">
        <f>DATINF!F42</f>
        <v>#DIV/0!</v>
      </c>
      <c r="G30" s="197"/>
      <c r="H30" s="136" t="e">
        <f>DATINF!G42</f>
        <v>#DIV/0!</v>
      </c>
      <c r="I30" s="69"/>
      <c r="J30" s="69"/>
    </row>
    <row r="31" spans="1:10" ht="20" customHeight="1" thickBot="1" x14ac:dyDescent="0.2">
      <c r="A31" s="188" t="s">
        <v>65</v>
      </c>
      <c r="B31" s="189"/>
      <c r="C31" s="190"/>
      <c r="D31" s="220" t="e">
        <f>DATINF!E43</f>
        <v>#DIV/0!</v>
      </c>
      <c r="E31" s="221"/>
      <c r="F31" s="198" t="e">
        <f>DATINF!F43</f>
        <v>#DIV/0!</v>
      </c>
      <c r="G31" s="199"/>
      <c r="H31" s="137" t="s">
        <v>64</v>
      </c>
      <c r="I31" s="69"/>
      <c r="J31" s="69"/>
    </row>
    <row r="32" spans="1:10" ht="21" customHeight="1" thickTop="1" x14ac:dyDescent="0.15">
      <c r="A32" s="208" t="s">
        <v>70</v>
      </c>
      <c r="B32" s="215" t="s">
        <v>73</v>
      </c>
      <c r="C32" s="216"/>
      <c r="D32" s="216"/>
      <c r="E32" s="217"/>
      <c r="F32" s="122" t="s">
        <v>63</v>
      </c>
      <c r="G32" s="134">
        <f>DATINF!S26</f>
        <v>1</v>
      </c>
      <c r="H32" s="138" t="e">
        <f>DATINF!K42</f>
        <v>#DIV/0!</v>
      </c>
      <c r="I32" s="69"/>
      <c r="J32" s="69"/>
    </row>
    <row r="33" spans="1:13" ht="21" customHeight="1" x14ac:dyDescent="0.15">
      <c r="A33" s="209"/>
      <c r="B33" s="191" t="s">
        <v>74</v>
      </c>
      <c r="C33" s="192"/>
      <c r="D33" s="192"/>
      <c r="E33" s="193"/>
      <c r="F33" s="123" t="s">
        <v>63</v>
      </c>
      <c r="G33" s="135">
        <f>(DATINF!C26*DATINF!S26)-0.03</f>
        <v>-0.03</v>
      </c>
      <c r="H33" s="139" t="s">
        <v>75</v>
      </c>
      <c r="I33" s="69"/>
      <c r="J33" s="69"/>
    </row>
    <row r="34" spans="1:13" ht="21" customHeight="1" thickBot="1" x14ac:dyDescent="0.2">
      <c r="A34" s="210"/>
      <c r="B34" s="202" t="s">
        <v>69</v>
      </c>
      <c r="C34" s="203"/>
      <c r="D34" s="203"/>
      <c r="E34" s="203"/>
      <c r="F34" s="203"/>
      <c r="G34" s="203"/>
      <c r="H34" s="140" t="s">
        <v>64</v>
      </c>
      <c r="I34" s="69"/>
      <c r="J34" s="69"/>
    </row>
    <row r="35" spans="1:13" ht="13" customHeight="1" thickTop="1" x14ac:dyDescent="0.15"/>
    <row r="36" spans="1:13" ht="13" customHeight="1" x14ac:dyDescent="0.15"/>
    <row r="37" spans="1:13" ht="13" customHeight="1" x14ac:dyDescent="0.15"/>
    <row r="38" spans="1:13" ht="13" customHeight="1" x14ac:dyDescent="0.15"/>
    <row r="39" spans="1:13" ht="13" customHeight="1" x14ac:dyDescent="0.15"/>
    <row r="40" spans="1:13" ht="13" customHeight="1" x14ac:dyDescent="0.15"/>
    <row r="41" spans="1:13" ht="13" customHeight="1" x14ac:dyDescent="0.15">
      <c r="J41" s="245"/>
      <c r="K41" s="246"/>
      <c r="L41" s="246"/>
      <c r="M41" s="246"/>
    </row>
    <row r="42" spans="1:13" ht="13" customHeight="1" x14ac:dyDescent="0.15">
      <c r="A42" s="243"/>
      <c r="B42" s="243"/>
      <c r="C42" s="243"/>
      <c r="D42" s="243"/>
      <c r="E42" s="243"/>
      <c r="F42" s="243"/>
      <c r="G42" s="243"/>
      <c r="H42" s="243"/>
      <c r="I42" s="71"/>
      <c r="J42" s="71"/>
    </row>
    <row r="43" spans="1:13" x14ac:dyDescent="0.15">
      <c r="A43" s="64"/>
      <c r="B43" s="64"/>
      <c r="C43" s="64"/>
      <c r="D43" s="64"/>
      <c r="E43" s="64"/>
      <c r="F43" s="64"/>
      <c r="G43" s="64"/>
      <c r="H43" s="64"/>
      <c r="I43" s="71"/>
      <c r="J43" s="71"/>
    </row>
    <row r="44" spans="1:13" ht="5" customHeight="1" x14ac:dyDescent="0.15">
      <c r="A44" s="64"/>
      <c r="B44" s="64"/>
      <c r="C44" s="64"/>
      <c r="D44" s="64"/>
      <c r="E44" s="64"/>
      <c r="F44" s="64"/>
      <c r="G44" s="64"/>
      <c r="H44" s="64"/>
      <c r="I44" s="71"/>
      <c r="J44" s="71"/>
    </row>
    <row r="45" spans="1:13" x14ac:dyDescent="0.15">
      <c r="A45" s="243" t="s">
        <v>11</v>
      </c>
      <c r="B45" s="243"/>
      <c r="C45" s="243"/>
      <c r="D45" s="243"/>
      <c r="E45" s="243"/>
      <c r="F45" s="243"/>
      <c r="G45" s="243"/>
      <c r="H45" s="243"/>
      <c r="I45" s="71"/>
      <c r="J45" s="71"/>
    </row>
    <row r="46" spans="1:13" ht="10.5" customHeight="1" x14ac:dyDescent="0.15">
      <c r="A46" s="243" t="s">
        <v>12</v>
      </c>
      <c r="B46" s="243"/>
      <c r="C46" s="243"/>
      <c r="D46" s="243"/>
      <c r="E46" s="243"/>
      <c r="F46" s="243"/>
      <c r="G46" s="243"/>
      <c r="H46" s="243"/>
      <c r="I46" s="243"/>
      <c r="J46" s="243"/>
    </row>
    <row r="47" spans="1:13" ht="12.75" hidden="1" customHeight="1" x14ac:dyDescent="0.15">
      <c r="A47" s="7" t="s">
        <v>9</v>
      </c>
      <c r="B47" s="8"/>
      <c r="C47" s="8"/>
      <c r="D47" s="8"/>
      <c r="E47" s="8"/>
      <c r="F47" s="8"/>
      <c r="G47" s="8"/>
      <c r="H47" s="8"/>
      <c r="I47" s="8"/>
      <c r="J47" s="8"/>
    </row>
    <row r="48" spans="1:13" ht="6.75" customHeight="1" x14ac:dyDescent="0.15">
      <c r="A48" s="7"/>
      <c r="B48" s="8"/>
      <c r="C48" s="8"/>
      <c r="D48" s="8"/>
      <c r="E48" s="8"/>
      <c r="F48" s="8"/>
      <c r="G48" s="8"/>
      <c r="H48" s="8"/>
      <c r="I48" s="8"/>
      <c r="J48" s="8"/>
    </row>
    <row r="49" spans="1:10" ht="12.75" hidden="1" customHeight="1" x14ac:dyDescent="0.15"/>
    <row r="50" spans="1:10" x14ac:dyDescent="0.15">
      <c r="A50" s="247" t="s">
        <v>10</v>
      </c>
      <c r="B50" s="247"/>
      <c r="C50" s="247"/>
      <c r="D50" s="248">
        <f>DATINF!C2</f>
        <v>0</v>
      </c>
      <c r="E50" s="248"/>
      <c r="F50" s="248"/>
      <c r="G50" s="248"/>
      <c r="H50" s="70"/>
      <c r="J50" s="8"/>
    </row>
    <row r="51" spans="1:10" x14ac:dyDescent="0.15">
      <c r="A51" s="45"/>
      <c r="B51" s="45"/>
      <c r="C51" s="45"/>
      <c r="D51" s="45"/>
      <c r="E51" s="6"/>
      <c r="F51" s="6"/>
      <c r="G51" s="70"/>
      <c r="H51" s="70"/>
      <c r="J51" s="8"/>
    </row>
    <row r="52" spans="1:10" x14ac:dyDescent="0.15">
      <c r="A52" s="244" t="s">
        <v>62</v>
      </c>
      <c r="B52" s="244"/>
      <c r="C52" s="244"/>
      <c r="D52" s="244"/>
      <c r="E52" s="244"/>
      <c r="F52" s="244"/>
      <c r="G52" s="244"/>
      <c r="H52" s="244"/>
      <c r="I52" s="70"/>
      <c r="J52" s="70"/>
    </row>
    <row r="53" spans="1:10" ht="12" customHeight="1" x14ac:dyDescent="0.15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spans="1:10" ht="12.75" hidden="1" customHeight="1" x14ac:dyDescent="0.15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spans="1:10" ht="21.75" customHeight="1" x14ac:dyDescent="0.15">
      <c r="A55" s="244" t="s">
        <v>61</v>
      </c>
      <c r="B55" s="244"/>
      <c r="C55" s="244"/>
      <c r="D55" s="244"/>
      <c r="E55" s="244"/>
      <c r="F55" s="244"/>
      <c r="G55" s="244"/>
      <c r="H55" s="244"/>
      <c r="I55" s="70"/>
      <c r="J55" s="70"/>
    </row>
    <row r="56" spans="1:10" ht="7.5" customHeight="1" x14ac:dyDescent="0.15">
      <c r="A56" s="10"/>
      <c r="B56" s="10"/>
      <c r="C56" s="10"/>
      <c r="D56" s="10"/>
      <c r="E56" s="10"/>
      <c r="F56" s="10"/>
      <c r="G56" s="10"/>
      <c r="H56" s="10"/>
      <c r="I56" s="70"/>
      <c r="J56" s="70"/>
    </row>
    <row r="57" spans="1:10" ht="16.5" customHeight="1" x14ac:dyDescent="0.15">
      <c r="A57" s="11" t="s">
        <v>13</v>
      </c>
      <c r="B57" s="10"/>
      <c r="C57" s="10"/>
      <c r="D57" s="10"/>
      <c r="E57" s="10"/>
      <c r="F57" s="10"/>
      <c r="G57" s="10"/>
      <c r="H57" s="10"/>
      <c r="I57" s="10"/>
      <c r="J57" s="10"/>
    </row>
    <row r="58" spans="1:10" ht="12.75" customHeight="1" x14ac:dyDescent="0.15">
      <c r="A58" s="128" t="str">
        <f>IF(DATINF!C9="","",DATINF!C9)</f>
        <v/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ht="12.75" customHeight="1" x14ac:dyDescent="0.15">
      <c r="A59" s="128" t="str">
        <f>IF(DATINF!C11="","",DATINF!C11)</f>
        <v/>
      </c>
      <c r="B59" s="10"/>
      <c r="C59" s="10"/>
      <c r="D59" s="10"/>
      <c r="E59" s="10"/>
      <c r="F59" s="10"/>
      <c r="G59" s="10"/>
      <c r="H59" s="10"/>
      <c r="I59" s="10"/>
      <c r="J59" s="10"/>
    </row>
    <row r="60" spans="1:10" ht="12.75" customHeight="1" x14ac:dyDescent="0.15">
      <c r="A60" s="128" t="str">
        <f>IF(DATINF!C13="","",DATINF!C13)</f>
        <v/>
      </c>
      <c r="B60" s="10"/>
      <c r="C60" s="10"/>
      <c r="D60" s="10"/>
      <c r="E60" s="10"/>
      <c r="F60" s="10"/>
      <c r="G60" s="10"/>
      <c r="H60" s="10"/>
      <c r="I60" s="10"/>
      <c r="J60" s="10"/>
    </row>
    <row r="61" spans="1:10" ht="12.75" customHeight="1" x14ac:dyDescent="0.15">
      <c r="A61" s="128" t="str">
        <f>IF(DATINF!C15="","",DATINF!C15)</f>
        <v/>
      </c>
      <c r="B61" s="10"/>
      <c r="C61" s="10"/>
      <c r="D61" s="10"/>
      <c r="E61" s="10"/>
      <c r="F61" s="10"/>
      <c r="G61" s="10"/>
      <c r="H61" s="10"/>
      <c r="I61" s="10"/>
      <c r="J61" s="10"/>
    </row>
    <row r="62" spans="1:10" ht="12.75" customHeight="1" x14ac:dyDescent="0.15">
      <c r="A62" s="128" t="str">
        <f>IF(DATINF!C17="","",DATINF!C17)</f>
        <v/>
      </c>
      <c r="B62" s="10"/>
      <c r="C62" s="10"/>
      <c r="D62" s="10"/>
      <c r="E62" s="10"/>
      <c r="F62" s="10"/>
      <c r="G62" s="10"/>
      <c r="H62" s="10"/>
      <c r="I62" s="10"/>
      <c r="J62" s="10"/>
    </row>
    <row r="63" spans="1:10" x14ac:dyDescent="0.15">
      <c r="H63" s="12" t="s">
        <v>14</v>
      </c>
    </row>
    <row r="64" spans="1:10" x14ac:dyDescent="0.15">
      <c r="H64" s="12"/>
      <c r="J64" s="12"/>
    </row>
  </sheetData>
  <sheetProtection selectLockedCells="1"/>
  <mergeCells count="62">
    <mergeCell ref="I46:J46"/>
    <mergeCell ref="A52:H52"/>
    <mergeCell ref="A55:H55"/>
    <mergeCell ref="J41:M41"/>
    <mergeCell ref="A50:C50"/>
    <mergeCell ref="A46:H46"/>
    <mergeCell ref="A42:H42"/>
    <mergeCell ref="D50:G50"/>
    <mergeCell ref="A45:H45"/>
    <mergeCell ref="A2:H2"/>
    <mergeCell ref="A4:H4"/>
    <mergeCell ref="E9:G9"/>
    <mergeCell ref="B11:C11"/>
    <mergeCell ref="D11:H11"/>
    <mergeCell ref="B13:B14"/>
    <mergeCell ref="D13:E14"/>
    <mergeCell ref="D12:G12"/>
    <mergeCell ref="B34:G34"/>
    <mergeCell ref="H12:H14"/>
    <mergeCell ref="A11:A14"/>
    <mergeCell ref="A32:A34"/>
    <mergeCell ref="C13:C14"/>
    <mergeCell ref="B12:C12"/>
    <mergeCell ref="B32:E32"/>
    <mergeCell ref="D30:E30"/>
    <mergeCell ref="D31:E31"/>
    <mergeCell ref="F13:G14"/>
    <mergeCell ref="A31:C31"/>
    <mergeCell ref="B33:E33"/>
    <mergeCell ref="A30:C30"/>
    <mergeCell ref="F30:G30"/>
    <mergeCell ref="F31:G31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F15:G15"/>
    <mergeCell ref="F16:G16"/>
    <mergeCell ref="F17:G17"/>
    <mergeCell ref="F18:G18"/>
    <mergeCell ref="F19:G19"/>
    <mergeCell ref="F20:G20"/>
    <mergeCell ref="F21:G21"/>
    <mergeCell ref="F28:G28"/>
    <mergeCell ref="F29:G29"/>
    <mergeCell ref="F22:G22"/>
    <mergeCell ref="F23:G23"/>
    <mergeCell ref="F24:G24"/>
    <mergeCell ref="F25:G25"/>
    <mergeCell ref="F26:G26"/>
    <mergeCell ref="F27:G27"/>
  </mergeCells>
  <phoneticPr fontId="3" type="noConversion"/>
  <conditionalFormatting sqref="A15:D29 H15:H29">
    <cfRule type="expression" dxfId="1" priority="2" stopIfTrue="1">
      <formula>$A15=""</formula>
    </cfRule>
  </conditionalFormatting>
  <conditionalFormatting sqref="F15:F29">
    <cfRule type="expression" dxfId="0" priority="1" stopIfTrue="1">
      <formula>$A15=""</formula>
    </cfRule>
  </conditionalFormatting>
  <printOptions horizontalCentered="1"/>
  <pageMargins left="0.47244094488188981" right="0.43307086614173229" top="0.94488188976377963" bottom="0" header="0" footer="3.937007874015748E-2"/>
  <pageSetup paperSize="9" scale="95" orientation="portrait" verticalDpi="300"/>
  <headerFooter scaleWithDoc="0" alignWithMargins="0">
    <oddHeader>&amp;L&amp;G</oddHeader>
    <oddFooter>&amp;C&amp;6Laboratorio habilitado por la Xunta de Galicia e inscrito en el Registro General del CTE como LECCE con Nº: GAL-L-005 en las áreas de actuación: GT, VS, PS, EH, EA y EFA</oddFooter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DATINF</vt:lpstr>
      <vt:lpstr>INF</vt:lpstr>
      <vt:lpstr>INF!Área_de_impresión</vt:lpstr>
      <vt:lpstr>DATINF!densidad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Fernández</dc:creator>
  <cp:lastModifiedBy>Juan Martínez Quintana</cp:lastModifiedBy>
  <cp:lastPrinted>2026-05-08T12:55:38Z</cp:lastPrinted>
  <dcterms:created xsi:type="dcterms:W3CDTF">1998-12-01T18:05:53Z</dcterms:created>
  <dcterms:modified xsi:type="dcterms:W3CDTF">2026-06-11T08:47:46Z</dcterms:modified>
</cp:coreProperties>
</file>